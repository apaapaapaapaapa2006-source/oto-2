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'エフェクト'!$A$1:$G$148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gekiga/" TargetMode="External" Id="rId130" /><Relationship Type="http://schemas.openxmlformats.org/officeDocument/2006/relationships/hyperlink" Target="https://apaapaapaapaapa2006-source.github.io/oto-2/shard/" TargetMode="External" Id="rId131" /><Relationship Type="http://schemas.openxmlformats.org/officeDocument/2006/relationships/hyperlink" Target="https://apaapaapaapaapa2006-source.github.io/oto-2/touei/" TargetMode="External" Id="rId132" /><Relationship Type="http://schemas.openxmlformats.org/officeDocument/2006/relationships/hyperlink" Target="https://apaapaapaapaapa2006-source.github.io/oto-2/tsumamu/" TargetMode="External" Id="rId133" /><Relationship Type="http://schemas.openxmlformats.org/officeDocument/2006/relationships/hyperlink" Target="https://apaapaapaapaapa2006-source.github.io/oto-2/tsumamu-naked/" TargetMode="External" Id="rId134" /><Relationship Type="http://schemas.openxmlformats.org/officeDocument/2006/relationships/hyperlink" Target="https://apaapaapaapaapa2006-source.github.io/oto-2/psyche-mirror-2/" TargetMode="External" Id="rId135" /><Relationship Type="http://schemas.openxmlformats.org/officeDocument/2006/relationships/hyperlink" Target="https://apaapaapaapaapa2006-source.github.io/oto-2/tatamu/" TargetMode="External" Id="rId136" /><Relationship Type="http://schemas.openxmlformats.org/officeDocument/2006/relationships/hyperlink" Target="https://apaapaapaapaapa2006-source.github.io/oto-2/shippan/" TargetMode="External" Id="rId137" /><Relationship Type="http://schemas.openxmlformats.org/officeDocument/2006/relationships/hyperlink" Target="https://apaapaapaapaapa2006-source.github.io/oto-2/tamasudare/" TargetMode="External" Id="rId138" /><Relationship Type="http://schemas.openxmlformats.org/officeDocument/2006/relationships/hyperlink" Target="https://apaapaapaapaapa2006-source.github.io/oto-2/sakeme/" TargetMode="External" Id="rId139" /><Relationship Type="http://schemas.openxmlformats.org/officeDocument/2006/relationships/hyperlink" Target="https://apaapaapaapaapa2006-source.github.io/oto-2/kouga/" TargetMode="External" Id="rId140" /><Relationship Type="http://schemas.openxmlformats.org/officeDocument/2006/relationships/hyperlink" Target="https://apaapaapaapaapa2006-source.github.io/oto-2/toge/" TargetMode="External" Id="rId141" /><Relationship Type="http://schemas.openxmlformats.org/officeDocument/2006/relationships/hyperlink" Target="https://apaapaapaapaapa2006-source.github.io/oto-2/amayadori/" TargetMode="External" Id="rId142" /><Relationship Type="http://schemas.openxmlformats.org/officeDocument/2006/relationships/hyperlink" Target="https://apaapaapaapaapa2006-source.github.io/oto-2/profile-mask/" TargetMode="External" Id="rId143" /><Relationship Type="http://schemas.openxmlformats.org/officeDocument/2006/relationships/hyperlink" Target="https://apaapaapaapaapa2006-source.github.io/oto-2/rainbow-flow/" TargetMode="External" Id="rId144" /><Relationship Type="http://schemas.openxmlformats.org/officeDocument/2006/relationships/hyperlink" Target="https://apaapaapaapaapa2006-source.github.io/oto-2/karakuri/" TargetMode="External" Id="rId145" /><Relationship Type="http://schemas.openxmlformats.org/officeDocument/2006/relationships/hyperlink" Target="https://apaapaapaapaapa2006-source.github.io/oto-2/usuba/" TargetMode="External" Id="rId146" /><Relationship Type="http://schemas.openxmlformats.org/officeDocument/2006/relationships/hyperlink" Target="https://apaapaapaapaapa2006-source.github.io/oto-2/moya/" TargetMode="External" Id="rId147"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48"/>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GEKIGA CAM</t>
        </is>
      </c>
      <c r="E131" s="5" t="inlineStr">
        <is>
          <t>オーナーが持ち込んだ作品。カメラの映像がそのまま昔の劇画の一コマになる。平らに塗られた面と墨の輪郭線とべた塗りの影、染みと焼けのある紙、ちぎれた紙のふち。劇画セピア・浮世絵・墨・夕焼け・ポップの五つ。写真と動画で撮れる。</t>
        </is>
      </c>
      <c r="F131" s="6" t="n"/>
      <c r="G131" s="2" t="inlineStr">
        <is>
          <t>エフェクト</t>
        </is>
      </c>
    </row>
    <row r="132" ht="30" customHeight="1">
      <c r="A132" s="2" t="n">
        <v>131</v>
      </c>
      <c r="B132" s="3" t="inlineStr">
        <is>
          <t>〇</t>
        </is>
      </c>
      <c r="C132" s="2" t="inlineStr">
        <is>
          <t>2026-10-17</t>
        </is>
      </c>
      <c r="D132" s="4" t="inlineStr">
        <is>
          <t>SHARD</t>
        </is>
      </c>
      <c r="E132" s="5" t="inlineStr">
        <is>
          <t>オーナーが持ち込んだサンプルエディタ。録音ボタンを長押しして声や物音を録り、波形から好きな所を切り出して、右の線をなぞると音程を変えて弾ける。逆再生・正規化・自動トリム・音程の自動検出・フェード・WAV 保存。これから映像の作品に育てていく。</t>
        </is>
      </c>
      <c r="F132" s="6" t="n"/>
      <c r="G132" s="2" t="inlineStr">
        <is>
          <t>エフェクト</t>
        </is>
      </c>
    </row>
    <row r="133" ht="30" customHeight="1">
      <c r="A133" s="2" t="n">
        <v>132</v>
      </c>
      <c r="B133" s="3" t="inlineStr">
        <is>
          <t>〇</t>
        </is>
      </c>
      <c r="C133" s="2" t="inlineStr">
        <is>
          <t>2026-10-17</t>
        </is>
      </c>
      <c r="D133" s="4" t="inlineStr">
        <is>
          <t>TOUEI</t>
        </is>
      </c>
      <c r="E133"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3" s="6" t="n"/>
      <c r="G133" s="2" t="inlineStr">
        <is>
          <t>エフェクト</t>
        </is>
      </c>
    </row>
    <row r="134" ht="30" customHeight="1">
      <c r="A134" s="2" t="n">
        <v>133</v>
      </c>
      <c r="B134" s="3" t="inlineStr">
        <is>
          <t>〇</t>
        </is>
      </c>
      <c r="C134" s="2" t="inlineStr">
        <is>
          <t>2026-10-17</t>
        </is>
      </c>
      <c r="D134" s="4" t="inlineStr">
        <is>
          <t>TSUMAMU</t>
        </is>
      </c>
      <c r="E134"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4" s="6" t="n"/>
      <c r="G134" s="2" t="inlineStr">
        <is>
          <t>エフェクト</t>
        </is>
      </c>
    </row>
    <row r="135" ht="30" customHeight="1">
      <c r="A135" s="2" t="n">
        <v>134</v>
      </c>
      <c r="B135" s="3" t="inlineStr">
        <is>
          <t>〇</t>
        </is>
      </c>
      <c r="C135" s="2" t="inlineStr">
        <is>
          <t>2026-10-17</t>
        </is>
      </c>
      <c r="D135" s="4" t="inlineStr">
        <is>
          <t>TSUMAMU NAKED</t>
        </is>
      </c>
      <c r="E135" s="5" t="inlineStr">
        <is>
          <t>TSUMAMU の最初の版（色の切り替え・ちぎる・貼る・声を足す前）。カメラの映像を親指と人差し指でつまんで引っぱると、ゼリーのような透明な膜になって伸び、離すとぷるんと揺れて「ぼよん」と鳴りながら戻る。両手でつまめば手のあいだで引き伸ばせ、指ではじくと波紋が走る。ゼリー・ゴム・蜜の三つの素材。撮影と録画ができる。</t>
        </is>
      </c>
      <c r="F135" s="6" t="n"/>
      <c r="G135" s="2" t="inlineStr">
        <is>
          <t>エフェクト</t>
        </is>
      </c>
    </row>
    <row r="136" ht="30" customHeight="1">
      <c r="A136" s="2" t="n">
        <v>135</v>
      </c>
      <c r="B136" s="3" t="inlineStr">
        <is>
          <t>〇</t>
        </is>
      </c>
      <c r="C136" s="2" t="inlineStr">
        <is>
          <t>2026-10-18</t>
        </is>
      </c>
      <c r="D136" s="4" t="inlineStr">
        <is>
          <t>PSYCHE MIRROR II</t>
        </is>
      </c>
      <c r="E136" s="5" t="inlineStr">
        <is>
          <t>PSYCHE MIRROR の新しい版。カメラをじっと見つめると髪が液体のマーブル絵の具になって頭からはじけ出す。顔は白い紙のように抜け後ろで色の粉が爆発ししぶきが線を引いて飛ぶ。頭をふるとしぶき・口をあけると爆発・目を長めにとじると配色がかわる。</t>
        </is>
      </c>
      <c r="F136" s="6" t="n"/>
      <c r="G136" s="2" t="inlineStr">
        <is>
          <t>エフェクト</t>
        </is>
      </c>
    </row>
    <row r="137" ht="30" customHeight="1">
      <c r="A137" s="2" t="n">
        <v>136</v>
      </c>
      <c r="B137" s="3" t="inlineStr">
        <is>
          <t>〇</t>
        </is>
      </c>
      <c r="C137" s="2" t="inlineStr">
        <is>
          <t>2026-10-18</t>
        </is>
      </c>
      <c r="D137" s="4" t="inlineStr">
        <is>
          <t>TATAMU</t>
        </is>
      </c>
      <c r="E137" s="5" t="inlineStr">
        <is>
          <t>指を曲げると指の付け根の線で部屋の景色が紙のように折れて起き上がり頭上へ覆いかぶさる。両手なら両側の壁が立ちタップで折り目を残して部屋を箱のように組める。</t>
        </is>
      </c>
      <c r="F137" s="6" t="n"/>
      <c r="G137" s="2" t="inlineStr">
        <is>
          <t>エフェクト</t>
        </is>
      </c>
    </row>
    <row r="138" ht="30" customHeight="1">
      <c r="A138" s="2" t="n">
        <v>137</v>
      </c>
      <c r="B138" s="3" t="inlineStr">
        <is>
          <t>〇</t>
        </is>
      </c>
      <c r="C138" s="2" t="inlineStr">
        <is>
          <t>2026-10-19</t>
        </is>
      </c>
      <c r="D138" s="4" t="inlineStr">
        <is>
          <t>SHIPPAN</t>
        </is>
      </c>
      <c r="E138" s="5" t="inlineStr">
        <is>
          <t>カメラが百五十年前の湿板写真機になる。黒い板に窓の光を受けた銀色の肖像が浮かびまわりは渦を巻いてぼける。三秒じっとするとクリーム色の板に陰画が浮かび定着液が流れて黒地の陽画に変わる。鉄板・硝子板・紅硝子・銀板の四つ。</t>
        </is>
      </c>
      <c r="F138" s="6" t="n"/>
      <c r="G138" s="2" t="inlineStr">
        <is>
          <t>エフェクト</t>
        </is>
      </c>
    </row>
    <row r="139" ht="30" customHeight="1">
      <c r="A139" s="2" t="n">
        <v>138</v>
      </c>
      <c r="B139" s="3" t="inlineStr">
        <is>
          <t>〇</t>
        </is>
      </c>
      <c r="C139" s="2" t="inlineStr">
        <is>
          <t>2026-10-19</t>
        </is>
      </c>
      <c r="D139" s="4" t="inlineStr">
        <is>
          <t>TAMASUDARE</t>
        </is>
      </c>
      <c r="E139" s="5" t="inlineStr">
        <is>
          <t>カメラの前に硝子の玉すだれが下りてくる。手や腕を入れると玉がよけて揺れからからと鳴る。握れば玉の束をつかんで寄せられはなせば揺れもどる。玉はひとつずつ向こうの景色をさかさまに映す。クリスタル・オーロラ・琥珀・黒硝子の四つ。</t>
        </is>
      </c>
      <c r="F139" s="6" t="n"/>
      <c r="G139" s="2" t="inlineStr">
        <is>
          <t>エフェクト</t>
        </is>
      </c>
    </row>
    <row r="140" ht="30" customHeight="1">
      <c r="A140" s="2" t="n">
        <v>139</v>
      </c>
      <c r="B140" s="3" t="inlineStr">
        <is>
          <t>〇</t>
        </is>
      </c>
      <c r="C140" s="2" t="inlineStr">
        <is>
          <t>2026-10-20</t>
        </is>
      </c>
      <c r="D140" s="4" t="inlineStr">
        <is>
          <t>SAKEME</t>
        </is>
      </c>
      <c r="E140" s="5" t="inlineStr">
        <is>
          <t>画面が一枚の真っ赤なキャンバスになりあなたはその裏側にいる。体と手が布を押すとその形が浮き彫りになり手をすばやく払うとフォンタナの絵のように切れ目が入る。めくれた縁の奥の暗がりからあなたがのぞく。赤・白・黒・群青の四つ。</t>
        </is>
      </c>
      <c r="F140" s="6" t="n"/>
      <c r="G140" s="2" t="inlineStr">
        <is>
          <t>エフェクト</t>
        </is>
      </c>
    </row>
    <row r="141" ht="30" customHeight="1">
      <c r="A141" s="2" t="n">
        <v>140</v>
      </c>
      <c r="B141" s="3" t="inlineStr">
        <is>
          <t>〇</t>
        </is>
      </c>
      <c r="C141" s="2" t="inlineStr">
        <is>
          <t>2026-10-21</t>
        </is>
      </c>
      <c r="D141" s="4" t="inlineStr">
        <is>
          <t>KOUGA</t>
        </is>
      </c>
      <c r="E141" s="5" t="inlineStr">
        <is>
          <t>灯りを消した部屋で人差し指を立てると指先が空中に光の線を描く。止まってポーズを決めるとストロボが焚かれ銀塩写真のあなたが光の線の中に焼き付く。描くのをやめると線がゆっくり回る。1949・EKTA・CYANO・SAFELIGHT の四つ。はじめは普通のカメラでボタンを押すと白熱灯が赤く落ちてストロボ一発で現れる。撮影と録画ができる。</t>
        </is>
      </c>
      <c r="F141" s="6" t="n"/>
      <c r="G141" s="2" t="inlineStr">
        <is>
          <t>エフェクト</t>
        </is>
      </c>
    </row>
    <row r="142" ht="30" customHeight="1">
      <c r="A142" s="2" t="n">
        <v>141</v>
      </c>
      <c r="B142" s="3" t="inlineStr">
        <is>
          <t>〇</t>
        </is>
      </c>
      <c r="C142" s="2" t="inlineStr">
        <is>
          <t>2026-10-23</t>
        </is>
      </c>
      <c r="D142" s="4" t="inlineStr">
        <is>
          <t>TOGE</t>
        </is>
      </c>
      <c r="E142" s="5" t="inlineStr">
        <is>
          <t>画面が黒い液体の水面になりあなたはそこにほの暗く映る。手を画面に近づけると磁性流体が何百本もの棘になって手のひらへ立ち上がり手を追ってついてくる。離すと山がくずれて映ったあなたの顔が波紋にゆがむ。虚空・紅・金・青の四つ。</t>
        </is>
      </c>
      <c r="F142" s="6" t="n"/>
      <c r="G142" s="2" t="inlineStr">
        <is>
          <t>エフェクト</t>
        </is>
      </c>
    </row>
    <row r="143" ht="30" customHeight="1">
      <c r="A143" s="2" t="n">
        <v>142</v>
      </c>
      <c r="B143" s="3" t="inlineStr">
        <is>
          <t>〇</t>
        </is>
      </c>
      <c r="C143" s="2" t="inlineStr">
        <is>
          <t>2026-10-24</t>
        </is>
      </c>
      <c r="D143" s="4" t="inlineStr">
        <is>
          <t>AMAYADORI</t>
        </is>
      </c>
      <c r="E143" s="5" t="inlineStr">
        <is>
          <t>暗い部屋にうしろから一灯の光が差し光る雨が降りつづける。あなたの頭と肩の上でだけ雨がやみしぶきが輪郭を光でなぞる。手をのばせばその上でもやみすばやく動くと間に合わない雨粒があなたを濡らす。タップすると雨粒が宙で止まる。BARBICAN・SODIUM・NOIR・CRIMSON の四つ。撮影と録画ができる。</t>
        </is>
      </c>
      <c r="F143" s="6" t="n"/>
      <c r="G143" s="2" t="inlineStr">
        <is>
          <t>エフェクト</t>
        </is>
      </c>
    </row>
    <row r="144" ht="30" customHeight="1">
      <c r="A144" s="2" t="n">
        <v>143</v>
      </c>
      <c r="B144" s="3" t="inlineStr">
        <is>
          <t>〇</t>
        </is>
      </c>
      <c r="C144" s="2" t="inlineStr">
        <is>
          <t>2026-10-24</t>
        </is>
      </c>
      <c r="D144" s="4" t="inlineStr">
        <is>
          <t>PROFILE MASK</t>
        </is>
      </c>
      <c r="E144" s="5" t="inlineStr">
        <is>
          <t>オーナーが持ち込んだ作品。横を向いて横顔を1枚撮ってから正面を向くとまわりが白い板でふさがれ自分の横顔の形の窓から正面の顔がのぞく。輪郭は横顔で中身は正面顔の騙し絵。しゃべると窓のあごも動きそのまま録画できる。</t>
        </is>
      </c>
      <c r="F144" s="6" t="n"/>
      <c r="G144" s="2" t="inlineStr">
        <is>
          <t>エフェクト</t>
        </is>
      </c>
    </row>
    <row r="145" ht="30" customHeight="1">
      <c r="A145" s="2" t="n">
        <v>144</v>
      </c>
      <c r="B145" s="3" t="inlineStr">
        <is>
          <t>〇</t>
        </is>
      </c>
      <c r="C145" s="2" t="inlineStr">
        <is>
          <t>2026-10-24</t>
        </is>
      </c>
      <c r="D145" s="4" t="inlineStr">
        <is>
          <t>RAINBOW FLOW</t>
        </is>
      </c>
      <c r="E145" s="5" t="inlineStr">
        <is>
          <t>オーナーが持ち込んだ作品。カメラの前で手を動かすと指先から虹色の液体があふれ出す。液体はクロームのように光ってうしろの景色をゆがめ手は液体の手前に見える。虹・炎・オーロラ・単色の四つ。</t>
        </is>
      </c>
      <c r="F145" s="6" t="n"/>
      <c r="G145" s="2" t="inlineStr">
        <is>
          <t>エフェクト</t>
        </is>
      </c>
    </row>
    <row r="146" ht="30" customHeight="1">
      <c r="A146" s="2" t="n">
        <v>145</v>
      </c>
      <c r="B146" s="3" t="inlineStr">
        <is>
          <t>〇</t>
        </is>
      </c>
      <c r="C146" s="2" t="inlineStr">
        <is>
          <t>2026-10-25</t>
        </is>
      </c>
      <c r="D146" s="4" t="inlineStr">
        <is>
          <t>KARAKURI</t>
        </is>
      </c>
      <c r="E146" s="5" t="inlineStr">
        <is>
          <t>明かりの落ちた美術館の壁で千枚あまりの木の小板が一枚ずつ傾き上からの一灯の陰影であなたの肖像を描く。動けば板が波打って鳴り速く動くと裏返り立ち去ると形が一枚ずつほどける。画面をたたくとそこから板がめくれる。胡桃・真鍮・黒漆・タモの四つ。撮影と録画ができる。</t>
        </is>
      </c>
      <c r="F146" s="6" t="n"/>
      <c r="G146" s="2" t="inlineStr">
        <is>
          <t>エフェクト</t>
        </is>
      </c>
    </row>
    <row r="147" ht="30" customHeight="1">
      <c r="A147" s="2" t="n">
        <v>146</v>
      </c>
      <c r="B147" s="3" t="inlineStr">
        <is>
          <t>〇</t>
        </is>
      </c>
      <c r="C147" s="2" t="inlineStr">
        <is>
          <t>2026-10-27</t>
        </is>
      </c>
      <c r="D147" s="4" t="inlineStr">
        <is>
          <t>USUBA</t>
        </is>
      </c>
      <c r="E147" s="5" t="inlineStr">
        <is>
          <t>オーナーが持ち込んだ作品。手を動かすと指と手の縁から硝子の薄刃が何百枚もこぼれ動いた向きの後ろへなびく。刃の中では映像が引き伸ばされ屈折で赤紫と黄緑に割れる。手が去ると刃は垂れ下がりゆっくり沈んで消える。</t>
        </is>
      </c>
      <c r="F147" s="6" t="n"/>
      <c r="G147" s="2" t="inlineStr">
        <is>
          <t>エフェクト</t>
        </is>
      </c>
    </row>
    <row r="148" ht="30" customHeight="1">
      <c r="A148" s="2" t="n">
        <v>147</v>
      </c>
      <c r="B148" s="3" t="inlineStr">
        <is>
          <t>〇</t>
        </is>
      </c>
      <c r="C148" s="2" t="inlineStr">
        <is>
          <t>2026-10-29</t>
        </is>
      </c>
      <c r="D148" s="4" t="inlineStr">
        <is>
          <t>MOYA</t>
        </is>
      </c>
      <c r="E148" s="5" t="inlineStr">
        <is>
          <t>オーナーが持ち込んだ作品。カメラに写った人の顔を見つけてそこだけを煙や液体のようにかき混ぜて溶かす。人がいないときは写っている物をひとつ選んで溶かしうねりの縁は虹色に割れる。顔だけ・物だけ・タップでも選べる。</t>
        </is>
      </c>
      <c r="F148" s="6" t="n"/>
      <c r="G148" s="2" t="inlineStr">
        <is>
          <t>エフェクト</t>
        </is>
      </c>
    </row>
  </sheetData>
  <autoFilter ref="A1:G148"/>
  <dataValidations count="1">
    <dataValidation sqref="B2:B148"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COUNTIF(エフェクト!$B$2:$B$148,"〇")</f>
        <v/>
      </c>
      <c r="E15" s="14">
        <f>SUM(B15:D15)</f>
        <v/>
      </c>
    </row>
    <row r="16">
      <c r="A16" s="11" t="inlineStr">
        <is>
          <t>△</t>
        </is>
      </c>
      <c r="B16" s="13">
        <f>COUNTIF(ゲーム!$B$2:$B$15,"△")</f>
        <v/>
      </c>
      <c r="C16" s="13">
        <f>COUNTIF(楽器!$B$2:$B$25,"△")</f>
        <v/>
      </c>
      <c r="D16" s="13">
        <f>COUNTIF(エフェクト!$B$2:$B$148,"△")</f>
        <v/>
      </c>
      <c r="E16" s="14">
        <f>SUM(B16:D16)</f>
        <v/>
      </c>
    </row>
    <row r="17">
      <c r="A17" s="11" t="inlineStr">
        <is>
          <t>×</t>
        </is>
      </c>
      <c r="B17" s="13">
        <f>COUNTIF(ゲーム!$B$2:$B$15,"×")</f>
        <v/>
      </c>
      <c r="C17" s="13">
        <f>COUNTIF(楽器!$B$2:$B$25,"×")</f>
        <v/>
      </c>
      <c r="D17" s="13">
        <f>COUNTIF(エフェクト!$B$2:$B$148,"×")</f>
        <v/>
      </c>
      <c r="E17" s="14">
        <f>SUM(B17:D17)</f>
        <v/>
      </c>
    </row>
    <row r="18">
      <c r="A18" s="11" t="inlineStr">
        <is>
          <t>作品数</t>
        </is>
      </c>
      <c r="B18" s="15" t="n">
        <v>14</v>
      </c>
      <c r="C18" s="15" t="n">
        <v>24</v>
      </c>
      <c r="D18" s="15" t="n">
        <v>147</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2026-10-28T22:25:52Z</dcterms:created>
  <dcterms:modified xsi:type="dcterms:W3CDTF">2026-10-28T22:25:52Z</dcterms:modified>
</cp:coreProperties>
</file>