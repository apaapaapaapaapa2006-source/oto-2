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gekiga/" TargetMode="External" Id="rId130" /><Relationship Type="http://schemas.openxmlformats.org/officeDocument/2006/relationships/hyperlink" Target="https://apaapaapaapaapa2006-source.github.io/oto-2/shard/" TargetMode="External" Id="rId131" /><Relationship Type="http://schemas.openxmlformats.org/officeDocument/2006/relationships/hyperlink" Target="https://apaapaapaapaapa2006-source.github.io/oto-2/touei/" TargetMode="External" Id="rId132" /><Relationship Type="http://schemas.openxmlformats.org/officeDocument/2006/relationships/hyperlink" Target="https://apaapaapaapaapa2006-source.github.io/oto-2/tsumamu/" TargetMode="External" Id="rId133" /><Relationship Type="http://schemas.openxmlformats.org/officeDocument/2006/relationships/hyperlink" Target="https://apaapaapaapaapa2006-source.github.io/oto-2/tsumamu-naked/" TargetMode="External" Id="rId13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GEKIGA CAM</t>
        </is>
      </c>
      <c r="E131" s="5" t="inlineStr">
        <is>
          <t>オーナーが持ち込んだ作品。カメラの映像がそのまま昔の劇画の一コマになる。平らに塗られた面と墨の輪郭線とべた塗りの影、染みと焼けのある紙、ちぎれた紙のふち。劇画セピア・浮世絵・墨・夕焼け・ポップの五つ。写真と動画で撮れる。</t>
        </is>
      </c>
      <c r="F131" s="6" t="n"/>
      <c r="G131" s="2" t="inlineStr">
        <is>
          <t>エフェクト</t>
        </is>
      </c>
    </row>
    <row r="132" ht="30" customHeight="1">
      <c r="A132" s="2" t="n">
        <v>131</v>
      </c>
      <c r="B132" s="3" t="inlineStr">
        <is>
          <t>〇</t>
        </is>
      </c>
      <c r="C132" s="2" t="inlineStr">
        <is>
          <t>2026-10-17</t>
        </is>
      </c>
      <c r="D132" s="4" t="inlineStr">
        <is>
          <t>SHARD</t>
        </is>
      </c>
      <c r="E132"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2" s="6" t="n"/>
      <c r="G132" s="2" t="inlineStr">
        <is>
          <t>エフェクト</t>
        </is>
      </c>
    </row>
    <row r="133" ht="30" customHeight="1">
      <c r="A133" s="2" t="n">
        <v>132</v>
      </c>
      <c r="B133" s="3" t="inlineStr">
        <is>
          <t>〇</t>
        </is>
      </c>
      <c r="C133" s="2" t="inlineStr">
        <is>
          <t>2026-10-17</t>
        </is>
      </c>
      <c r="D133" s="4" t="inlineStr">
        <is>
          <t>TOUEI</t>
        </is>
      </c>
      <c r="E133"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3" s="6" t="n"/>
      <c r="G133" s="2" t="inlineStr">
        <is>
          <t>エフェクト</t>
        </is>
      </c>
    </row>
    <row r="134" ht="30" customHeight="1">
      <c r="A134" s="2" t="n">
        <v>133</v>
      </c>
      <c r="B134" s="3" t="inlineStr">
        <is>
          <t>〇</t>
        </is>
      </c>
      <c r="C134" s="2" t="inlineStr">
        <is>
          <t>2026-10-17</t>
        </is>
      </c>
      <c r="D134" s="4" t="inlineStr">
        <is>
          <t>TSUMAMU</t>
        </is>
      </c>
      <c r="E134"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4" s="6" t="n"/>
      <c r="G134" s="2" t="inlineStr">
        <is>
          <t>エフェクト</t>
        </is>
      </c>
    </row>
    <row r="135" ht="30" customHeight="1">
      <c r="A135" s="2" t="n">
        <v>134</v>
      </c>
      <c r="B135" s="3" t="inlineStr">
        <is>
          <t>〇</t>
        </is>
      </c>
      <c r="C135" s="2" t="inlineStr">
        <is>
          <t>2026-10-17</t>
        </is>
      </c>
      <c r="D135" s="4" t="inlineStr">
        <is>
          <t>TSUMAMU NAKED</t>
        </is>
      </c>
      <c r="E135"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5" s="6" t="n"/>
      <c r="G135" s="2" t="inlineStr">
        <is>
          <t>エフェクト</t>
        </is>
      </c>
    </row>
  </sheetData>
  <autoFilter ref="A1:G135"/>
  <dataValidations count="1">
    <dataValidation sqref="B2:B13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COUNTIF(エフェクト!$B$2:$B$135,"〇")</f>
        <v/>
      </c>
      <c r="E15" s="14">
        <f>SUM(B15:D15)</f>
        <v/>
      </c>
    </row>
    <row r="16">
      <c r="A16" s="11" t="inlineStr">
        <is>
          <t>△</t>
        </is>
      </c>
      <c r="B16" s="13">
        <f>COUNTIF(ゲーム!$B$2:$B$15,"△")</f>
        <v/>
      </c>
      <c r="C16" s="13">
        <f>COUNTIF(楽器!$B$2:$B$25,"△")</f>
        <v/>
      </c>
      <c r="D16" s="13">
        <f>COUNTIF(エフェクト!$B$2:$B$135,"△")</f>
        <v/>
      </c>
      <c r="E16" s="14">
        <f>SUM(B16:D16)</f>
        <v/>
      </c>
    </row>
    <row r="17">
      <c r="A17" s="11" t="inlineStr">
        <is>
          <t>×</t>
        </is>
      </c>
      <c r="B17" s="13">
        <f>COUNTIF(ゲーム!$B$2:$B$15,"×")</f>
        <v/>
      </c>
      <c r="C17" s="13">
        <f>COUNTIF(楽器!$B$2:$B$25,"×")</f>
        <v/>
      </c>
      <c r="D17" s="13">
        <f>COUNTIF(エフェクト!$B$2:$B$135,"×")</f>
        <v/>
      </c>
      <c r="E17" s="14">
        <f>SUM(B17:D17)</f>
        <v/>
      </c>
    </row>
    <row r="18">
      <c r="A18" s="11" t="inlineStr">
        <is>
          <t>作品数</t>
        </is>
      </c>
      <c r="B18" s="15" t="n">
        <v>14</v>
      </c>
      <c r="C18" s="15" t="n">
        <v>24</v>
      </c>
      <c r="D18" s="15" t="n">
        <v>134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2026-10-17T04:05:28Z</dcterms:created>
  <dcterms:modified xsi:type="dcterms:W3CDTF">2026-10-17T04:05:28Z</dcterms:modified>
</cp:coreProperties>
</file>