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'楽器'!$A$1:$G$23</definedName>
    <definedName name="_xlnm._FilterDatabase" localSheetId="2" hidden="1">'エフェクト'!$A$1:$G$54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suimei/" TargetMode="External" Id="rId49" /><Relationship Type="http://schemas.openxmlformats.org/officeDocument/2006/relationships/hyperlink" Target="https://apaapaapaapaapa2006-source.github.io/oto-2/telop/" TargetMode="External" Id="rId50" /><Relationship Type="http://schemas.openxmlformats.org/officeDocument/2006/relationships/hyperlink" Target="https://apaapaapaapaapa2006-source.github.io/oto-2/madokagami/" TargetMode="External" Id="rId51" /><Relationship Type="http://schemas.openxmlformats.org/officeDocument/2006/relationships/hyperlink" Target="https://apaapaapaapaapa2006-source.github.io/oto-2/zanzou/" TargetMode="External" Id="rId52" /><Relationship Type="http://schemas.openxmlformats.org/officeDocument/2006/relationships/hyperlink" Target="https://apaapaapaapaapa2006-source.github.io/oto-2/korin/" TargetMode="External" Id="rId5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sheetData>
  <autoFilter ref="A1:G23"/>
  <dataValidations count="1">
    <dataValidation sqref="B2:B23"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5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SUIMEI</t>
        </is>
      </c>
      <c r="E50" s="5" t="inlineStr">
        <is>
          <t>カメラに映るものが浅瀬の底になり本物の集光模様が這うエフェクト。白い網は模様ではなく光の折り目で手をかざすとそこだけ水面がふくらんでレンズになり光が一点に集まる。</t>
        </is>
      </c>
      <c r="F50" s="6" t="n"/>
      <c r="G50" s="2" t="inlineStr">
        <is>
          <t>エフェクト</t>
        </is>
      </c>
    </row>
    <row r="51" ht="30" customHeight="1">
      <c r="A51" s="2" t="n">
        <v>50</v>
      </c>
      <c r="B51" s="3" t="inlineStr">
        <is>
          <t>〇</t>
        </is>
      </c>
      <c r="C51" s="2" t="inlineStr">
        <is>
          <t>2026-09-23</t>
        </is>
      </c>
      <c r="D51" s="4" t="inlineStr">
        <is>
          <t>TELOP</t>
        </is>
      </c>
      <c r="E51" s="5" t="inlineStr">
        <is>
          <t>表情にバラエティ番組のテロップと効果音がつくエフェクト。驚けば「えぇっ！？」笑えば「（笑）」口を開けたまま固まると衝撃映像。ワイプには少し遅れた自分が映り録画して保存できる。</t>
        </is>
      </c>
      <c r="F51" s="6" t="n"/>
      <c r="G51" s="2" t="inlineStr">
        <is>
          <t>エフェクト</t>
        </is>
      </c>
    </row>
    <row r="52" ht="30" customHeight="1">
      <c r="A52" s="2" t="n">
        <v>51</v>
      </c>
      <c r="B52" s="3" t="inlineStr">
        <is>
          <t>〇</t>
        </is>
      </c>
      <c r="C52" s="2" t="inlineStr">
        <is>
          <t>2026-09-24</t>
        </is>
      </c>
      <c r="D52" s="4" t="inlineStr">
        <is>
          <t>MADOKAGAMI</t>
        </is>
      </c>
      <c r="E52"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2" s="6" t="n"/>
      <c r="G52" s="2" t="inlineStr">
        <is>
          <t>エフェクト</t>
        </is>
      </c>
    </row>
    <row r="53" ht="30" customHeight="1">
      <c r="A53" s="2" t="n">
        <v>52</v>
      </c>
      <c r="B53" s="3" t="inlineStr">
        <is>
          <t>〇</t>
        </is>
      </c>
      <c r="C53" s="2" t="inlineStr">
        <is>
          <t>2026-09-25</t>
        </is>
      </c>
      <c r="D53" s="4" t="inlineStr">
        <is>
          <t>ZANZOU</t>
        </is>
      </c>
      <c r="E53"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53" s="6" t="n"/>
      <c r="G53" s="2" t="inlineStr">
        <is>
          <t>エフェクト</t>
        </is>
      </c>
    </row>
    <row r="54" ht="30" customHeight="1">
      <c r="A54" s="2" t="n">
        <v>53</v>
      </c>
      <c r="B54" s="3" t="inlineStr">
        <is>
          <t>〇</t>
        </is>
      </c>
      <c r="C54" s="2" t="inlineStr">
        <is>
          <t>2026-09-26</t>
        </is>
      </c>
      <c r="D54" s="4" t="inlineStr">
        <is>
          <t>KORIN</t>
        </is>
      </c>
      <c r="E54"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54" s="6" t="n"/>
      <c r="G54" s="2" t="inlineStr">
        <is>
          <t>エフェクト</t>
        </is>
      </c>
    </row>
  </sheetData>
  <autoFilter ref="A1:G54"/>
  <dataValidations count="1">
    <dataValidation sqref="B2:B5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COUNTIF(楽器!$B$2:$B$23,"〇")</f>
        <v/>
      </c>
      <c r="D15" s="13">
        <f>COUNTIF(エフェクト!$B$2:$B$54,"〇")</f>
        <v/>
      </c>
      <c r="E15" s="14">
        <f>SUM(B15:D15)</f>
        <v/>
      </c>
    </row>
    <row r="16">
      <c r="A16" s="11" t="inlineStr">
        <is>
          <t>△</t>
        </is>
      </c>
      <c r="B16" s="13">
        <f>COUNTIF(ゲーム!$B$2:$B$15,"△")</f>
        <v/>
      </c>
      <c r="C16" s="13">
        <f>COUNTIF(楽器!$B$2:$B$23,"△")</f>
        <v/>
      </c>
      <c r="D16" s="13">
        <f>COUNTIF(エフェクト!$B$2:$B$54,"△")</f>
        <v/>
      </c>
      <c r="E16" s="14">
        <f>SUM(B16:D16)</f>
        <v/>
      </c>
    </row>
    <row r="17">
      <c r="A17" s="11" t="inlineStr">
        <is>
          <t>×</t>
        </is>
      </c>
      <c r="B17" s="13">
        <f>COUNTIF(ゲーム!$B$2:$B$15,"×")</f>
        <v/>
      </c>
      <c r="C17" s="13">
        <f>COUNTIF(楽器!$B$2:$B$23,"×")</f>
        <v/>
      </c>
      <c r="D17" s="13">
        <f>COUNTIF(エフェクト!$B$2:$B$54,"×")</f>
        <v/>
      </c>
      <c r="E17" s="14">
        <f>SUM(B17:D17)</f>
        <v/>
      </c>
    </row>
    <row r="18">
      <c r="A18" s="11" t="inlineStr">
        <is>
          <t>作品数</t>
        </is>
      </c>
      <c r="B18" s="15" t="n">
        <v>14</v>
      </c>
      <c r="C18" s="15" t="n">
        <v>22</v>
      </c>
      <c r="D18" s="15" t="n">
        <v>53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2026-09-23T01:55:10Z</dcterms:created>
  <dcterms:modified xsi:type="dcterms:W3CDTF">2026-09-23T01:55:10Z</dcterms:modified>
</cp:coreProperties>
</file>