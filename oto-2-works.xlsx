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'楽器'!$A$1:$G$21</definedName>
    <definedName name="_xlnm._FilterDatabase" localSheetId="2" hidden="1">'エフェクト'!$A$1:$G$42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sheetData>
  <autoFilter ref="A1:G21"/>
  <dataValidations count="1">
    <dataValidation sqref="B2:B2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sheetData>
  <autoFilter ref="A1:G42"/>
  <dataValidations count="1">
    <dataValidation sqref="B2:B4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COUNTIF(楽器!$B$2:$B$21,"〇")</f>
        <v/>
      </c>
      <c r="D15" s="13">
        <f>COUNTIF(エフェクト!$B$2:$B$42,"〇")</f>
        <v/>
      </c>
      <c r="E15" s="14">
        <f>SUM(B15:D15)</f>
        <v/>
      </c>
    </row>
    <row r="16">
      <c r="A16" s="11" t="inlineStr">
        <is>
          <t>△</t>
        </is>
      </c>
      <c r="B16" s="13">
        <f>COUNTIF(ゲーム!$B$2:$B$15,"△")</f>
        <v/>
      </c>
      <c r="C16" s="13">
        <f>COUNTIF(楽器!$B$2:$B$21,"△")</f>
        <v/>
      </c>
      <c r="D16" s="13">
        <f>COUNTIF(エフェクト!$B$2:$B$42,"△")</f>
        <v/>
      </c>
      <c r="E16" s="14">
        <f>SUM(B16:D16)</f>
        <v/>
      </c>
    </row>
    <row r="17">
      <c r="A17" s="11" t="inlineStr">
        <is>
          <t>×</t>
        </is>
      </c>
      <c r="B17" s="13">
        <f>COUNTIF(ゲーム!$B$2:$B$15,"×")</f>
        <v/>
      </c>
      <c r="C17" s="13">
        <f>COUNTIF(楽器!$B$2:$B$21,"×")</f>
        <v/>
      </c>
      <c r="D17" s="13">
        <f>COUNTIF(エフェクト!$B$2:$B$42,"×")</f>
        <v/>
      </c>
      <c r="E17" s="14">
        <f>SUM(B17:D17)</f>
        <v/>
      </c>
    </row>
    <row r="18">
      <c r="A18" s="11" t="inlineStr">
        <is>
          <t>作品数</t>
        </is>
      </c>
      <c r="B18" s="15" t="n">
        <v>14</v>
      </c>
      <c r="C18" s="15" t="n">
        <v>20</v>
      </c>
      <c r="D18" s="15" t="n">
        <v>41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2026-09-19T18:03:33Z</dcterms:created>
  <dcterms:modified xsi:type="dcterms:W3CDTF">2026-09-19T18:03:33Z</dcterms:modified>
</cp:coreProperties>
</file>