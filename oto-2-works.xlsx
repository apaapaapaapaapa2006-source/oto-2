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'エフェクト'!$A$1:$G$141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hyperlink" Target="https://apaapaapaapaapa2006-source.github.io/oto-2/psyche-mirror-2/" TargetMode="External" Id="rId135" /><Relationship Type="http://schemas.openxmlformats.org/officeDocument/2006/relationships/hyperlink" Target="https://apaapaapaapaapa2006-source.github.io/oto-2/tatamu/" TargetMode="External" Id="rId136" /><Relationship Type="http://schemas.openxmlformats.org/officeDocument/2006/relationships/hyperlink" Target="https://apaapaapaapaapa2006-source.github.io/oto-2/shippan/" TargetMode="External" Id="rId137" /><Relationship Type="http://schemas.openxmlformats.org/officeDocument/2006/relationships/hyperlink" Target="https://apaapaapaapaapa2006-source.github.io/oto-2/tamasudare/" TargetMode="External" Id="rId138" /><Relationship Type="http://schemas.openxmlformats.org/officeDocument/2006/relationships/hyperlink" Target="https://apaapaapaapaapa2006-source.github.io/oto-2/sakeme/" TargetMode="External" Id="rId139" /><Relationship Type="http://schemas.openxmlformats.org/officeDocument/2006/relationships/hyperlink" Target="https://apaapaapaapaapa2006-source.github.io/oto-2/kouga/" TargetMode="External" Id="rId14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row r="136" ht="30" customHeight="1">
      <c r="A136" s="2" t="n">
        <v>135</v>
      </c>
      <c r="B136" s="3" t="inlineStr">
        <is>
          <t>〇</t>
        </is>
      </c>
      <c r="C136" s="2" t="inlineStr">
        <is>
          <t>2026-10-18</t>
        </is>
      </c>
      <c r="D136" s="4" t="inlineStr">
        <is>
          <t>PSYCHE MIRROR II</t>
        </is>
      </c>
      <c r="E136" s="5" t="inlineStr">
        <is>
          <t>PSYCHE MIRROR の新しい版。カメラをじっと見つめると髪が液体のマーブル絵の具になって頭からはじけ出す。顔は白い紙のように抜け後ろで色の粉が爆発ししぶきが線を引いて飛ぶ。頭をふるとしぶき・口をあけると爆発・目を長めにとじると配色がかわる。</t>
        </is>
      </c>
      <c r="F136" s="6" t="n"/>
      <c r="G136" s="2" t="inlineStr">
        <is>
          <t>エフェクト</t>
        </is>
      </c>
    </row>
    <row r="137" ht="30" customHeight="1">
      <c r="A137" s="2" t="n">
        <v>136</v>
      </c>
      <c r="B137" s="3" t="inlineStr">
        <is>
          <t>〇</t>
        </is>
      </c>
      <c r="C137" s="2" t="inlineStr">
        <is>
          <t>2026-10-18</t>
        </is>
      </c>
      <c r="D137" s="4" t="inlineStr">
        <is>
          <t>TATAMU</t>
        </is>
      </c>
      <c r="E137" s="5" t="inlineStr">
        <is>
          <t>指を曲げると指の付け根の線で部屋の景色が紙のように折れて起き上がり頭上へ覆いかぶさる。両手なら両側の壁が立ちタップで折り目を残して部屋を箱のように組める。</t>
        </is>
      </c>
      <c r="F137" s="6" t="n"/>
      <c r="G137" s="2" t="inlineStr">
        <is>
          <t>エフェクト</t>
        </is>
      </c>
    </row>
    <row r="138" ht="30" customHeight="1">
      <c r="A138" s="2" t="n">
        <v>137</v>
      </c>
      <c r="B138" s="3" t="inlineStr">
        <is>
          <t>〇</t>
        </is>
      </c>
      <c r="C138" s="2" t="inlineStr">
        <is>
          <t>2026-10-19</t>
        </is>
      </c>
      <c r="D138" s="4" t="inlineStr">
        <is>
          <t>SHIPPAN</t>
        </is>
      </c>
      <c r="E138" s="5" t="inlineStr">
        <is>
          <t>カメラが百五十年前の湿板写真機になる。黒い板に窓の光を受けた銀色の肖像が浮かびまわりは渦を巻いてぼける。三秒じっとするとクリーム色の板に陰画が浮かび定着液が流れて黒地の陽画に変わる。鉄板・硝子板・紅硝子・銀板の四つ。</t>
        </is>
      </c>
      <c r="F138" s="6" t="n"/>
      <c r="G138" s="2" t="inlineStr">
        <is>
          <t>エフェクト</t>
        </is>
      </c>
    </row>
    <row r="139" ht="30" customHeight="1">
      <c r="A139" s="2" t="n">
        <v>138</v>
      </c>
      <c r="B139" s="3" t="inlineStr">
        <is>
          <t>〇</t>
        </is>
      </c>
      <c r="C139" s="2" t="inlineStr">
        <is>
          <t>2026-10-19</t>
        </is>
      </c>
      <c r="D139" s="4" t="inlineStr">
        <is>
          <t>TAMASUDARE</t>
        </is>
      </c>
      <c r="E139" s="5" t="inlineStr">
        <is>
          <t>カメラの前に硝子の玉すだれが下りてくる。手や腕を入れると玉がよけて揺れからからと鳴る。握れば玉の束をつかんで寄せられはなせば揺れもどる。玉はひとつずつ向こうの景色をさかさまに映す。クリスタル・オーロラ・琥珀・黒硝子の四つ。</t>
        </is>
      </c>
      <c r="F139" s="6" t="n"/>
      <c r="G139" s="2" t="inlineStr">
        <is>
          <t>エフェクト</t>
        </is>
      </c>
    </row>
    <row r="140" ht="30" customHeight="1">
      <c r="A140" s="2" t="n">
        <v>139</v>
      </c>
      <c r="B140" s="3" t="inlineStr">
        <is>
          <t>〇</t>
        </is>
      </c>
      <c r="C140" s="2" t="inlineStr">
        <is>
          <t>2026-10-20</t>
        </is>
      </c>
      <c r="D140" s="4" t="inlineStr">
        <is>
          <t>SAKEME</t>
        </is>
      </c>
      <c r="E140" s="5" t="inlineStr">
        <is>
          <t>画面が一枚の真っ赤なキャンバスになりあなたはその裏側にいる。体と手が布を押すとその形が浮き彫りになり手をすばやく払うとフォンタナの絵のように切れ目が入る。めくれた縁の奥の暗がりからあなたがのぞく。赤・白・黒・群青の四つ。</t>
        </is>
      </c>
      <c r="F140" s="6" t="n"/>
      <c r="G140" s="2" t="inlineStr">
        <is>
          <t>エフェクト</t>
        </is>
      </c>
    </row>
    <row r="141" ht="30" customHeight="1">
      <c r="A141" s="2" t="n">
        <v>140</v>
      </c>
      <c r="B141" s="3" t="inlineStr">
        <is>
          <t>〇</t>
        </is>
      </c>
      <c r="C141" s="2" t="inlineStr">
        <is>
          <t>2026-10-21</t>
        </is>
      </c>
      <c r="D141" s="4" t="inlineStr">
        <is>
          <t>KOUGA</t>
        </is>
      </c>
      <c r="E141" s="5" t="inlineStr">
        <is>
          <t>灯りを消した部屋で人差し指を立てると指先が空中に光の線を描く。止まってポーズを決めるとストロボが焚かれ銀塩写真のあなたが光の線の中に焼き付く。描くのをやめると線がゆっくり回る。1949・EKTA・CYANO・SAFELIGHT の四つ。はじめは普通のカメラでボタンを押すと白熱灯が赤く落ちてストロボ一発で現れる。撮影と録画ができる。</t>
        </is>
      </c>
      <c r="F141" s="6" t="n"/>
      <c r="G141" s="2" t="inlineStr">
        <is>
          <t>エフェクト</t>
        </is>
      </c>
    </row>
  </sheetData>
  <autoFilter ref="A1:G141"/>
  <dataValidations count="1">
    <dataValidation sqref="B2:B14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COUNTIF(エフェクト!$B$2:$B$141,"〇")</f>
        <v/>
      </c>
      <c r="E15" s="14">
        <f>SUM(B15:D15)</f>
        <v/>
      </c>
    </row>
    <row r="16">
      <c r="A16" s="11" t="inlineStr">
        <is>
          <t>△</t>
        </is>
      </c>
      <c r="B16" s="13">
        <f>COUNTIF(ゲーム!$B$2:$B$15,"△")</f>
        <v/>
      </c>
      <c r="C16" s="13">
        <f>COUNTIF(楽器!$B$2:$B$25,"△")</f>
        <v/>
      </c>
      <c r="D16" s="13">
        <f>COUNTIF(エフェクト!$B$2:$B$141,"△")</f>
        <v/>
      </c>
      <c r="E16" s="14">
        <f>SUM(B16:D16)</f>
        <v/>
      </c>
    </row>
    <row r="17">
      <c r="A17" s="11" t="inlineStr">
        <is>
          <t>×</t>
        </is>
      </c>
      <c r="B17" s="13">
        <f>COUNTIF(ゲーム!$B$2:$B$15,"×")</f>
        <v/>
      </c>
      <c r="C17" s="13">
        <f>COUNTIF(楽器!$B$2:$B$25,"×")</f>
        <v/>
      </c>
      <c r="D17" s="13">
        <f>COUNTIF(エフェクト!$B$2:$B$141,"×")</f>
        <v/>
      </c>
      <c r="E17" s="14">
        <f>SUM(B17:D17)</f>
        <v/>
      </c>
    </row>
    <row r="18">
      <c r="A18" s="11" t="inlineStr">
        <is>
          <t>作品数</t>
        </is>
      </c>
      <c r="B18" s="15" t="n">
        <v>14</v>
      </c>
      <c r="C18" s="15" t="n">
        <v>24</v>
      </c>
      <c r="D18" s="15" t="n">
        <v>140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2026-10-20T20:15:24Z</dcterms:created>
  <dcterms:modified xsi:type="dcterms:W3CDTF">2026-10-20T20:15:24Z</dcterms:modified>
</cp:coreProperties>
</file>