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itokake/" TargetMode="External" Id="rId85" /><Relationship Type="http://schemas.openxmlformats.org/officeDocument/2006/relationships/hyperlink" Target="https://apaapaapaapaapa2006-source.github.io/oto-2/ryusen/" TargetMode="External" Id="rId86" /><Relationship Type="http://schemas.openxmlformats.org/officeDocument/2006/relationships/hyperlink" Target="https://apaapaapaapaapa2006-source.github.io/oto-2/tanzaku/" TargetMode="External" Id="rId87" /><Relationship Type="http://schemas.openxmlformats.org/officeDocument/2006/relationships/hyperlink" Target="https://apaapaapaapaapa2006-source.github.io/oto-2/utsuwa/" TargetMode="External" Id="rId8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ITOKAKE</t>
        </is>
      </c>
      <c r="E86"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6" s="6" t="n"/>
      <c r="G86" s="2" t="inlineStr">
        <is>
          <t>エフェクト</t>
        </is>
      </c>
    </row>
    <row r="87" ht="30" customHeight="1">
      <c r="A87" s="2" t="n">
        <v>86</v>
      </c>
      <c r="B87" s="3" t="inlineStr">
        <is>
          <t>〇</t>
        </is>
      </c>
      <c r="C87" s="2" t="inlineStr">
        <is>
          <t>2026-10-01</t>
        </is>
      </c>
      <c r="D87" s="4" t="inlineStr">
        <is>
          <t>RYUSEN</t>
        </is>
      </c>
      <c r="E87"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7" s="6" t="n"/>
      <c r="G87" s="2" t="inlineStr">
        <is>
          <t>エフェクト</t>
        </is>
      </c>
    </row>
    <row r="88" ht="30" customHeight="1">
      <c r="A88" s="2" t="n">
        <v>87</v>
      </c>
      <c r="B88" s="3" t="inlineStr">
        <is>
          <t>〇</t>
        </is>
      </c>
      <c r="C88" s="2" t="inlineStr">
        <is>
          <t>2026-10-01</t>
        </is>
      </c>
      <c r="D88" s="4" t="inlineStr">
        <is>
          <t>TANZAKU</t>
        </is>
      </c>
      <c r="E88"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8" s="6" t="n"/>
      <c r="G88" s="2" t="inlineStr">
        <is>
          <t>エフェクト</t>
        </is>
      </c>
    </row>
    <row r="89" ht="30" customHeight="1">
      <c r="A89" s="2" t="n">
        <v>88</v>
      </c>
      <c r="B89" s="3" t="inlineStr">
        <is>
          <t>〇</t>
        </is>
      </c>
      <c r="C89" s="2" t="inlineStr">
        <is>
          <t>2026-10-01</t>
        </is>
      </c>
      <c r="D89" s="4" t="inlineStr">
        <is>
          <t>UTSUWA</t>
        </is>
      </c>
      <c r="E89"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9" s="6" t="n"/>
      <c r="G89" s="2" t="inlineStr">
        <is>
          <t>エフェクト</t>
        </is>
      </c>
    </row>
  </sheetData>
  <autoFilter ref="A1:G89"/>
  <dataValidations count="1">
    <dataValidation sqref="B2:B8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COUNTIF(エフェクト!$B$2:$B$89,"〇")</f>
        <v/>
      </c>
      <c r="E15" s="14">
        <f>SUM(B15:D15)</f>
        <v/>
      </c>
    </row>
    <row r="16">
      <c r="A16" s="11" t="inlineStr">
        <is>
          <t>△</t>
        </is>
      </c>
      <c r="B16" s="13">
        <f>COUNTIF(ゲーム!$B$2:$B$15,"△")</f>
        <v/>
      </c>
      <c r="C16" s="13">
        <f>COUNTIF(楽器!$B$2:$B$24,"△")</f>
        <v/>
      </c>
      <c r="D16" s="13">
        <f>COUNTIF(エフェクト!$B$2:$B$89,"△")</f>
        <v/>
      </c>
      <c r="E16" s="14">
        <f>SUM(B16:D16)</f>
        <v/>
      </c>
    </row>
    <row r="17">
      <c r="A17" s="11" t="inlineStr">
        <is>
          <t>×</t>
        </is>
      </c>
      <c r="B17" s="13">
        <f>COUNTIF(ゲーム!$B$2:$B$15,"×")</f>
        <v/>
      </c>
      <c r="C17" s="13">
        <f>COUNTIF(楽器!$B$2:$B$24,"×")</f>
        <v/>
      </c>
      <c r="D17" s="13">
        <f>COUNTIF(エフェクト!$B$2:$B$89,"×")</f>
        <v/>
      </c>
      <c r="E17" s="14">
        <f>SUM(B17:D17)</f>
        <v/>
      </c>
    </row>
    <row r="18">
      <c r="A18" s="11" t="inlineStr">
        <is>
          <t>作品数</t>
        </is>
      </c>
      <c r="B18" s="15" t="n">
        <v>14</v>
      </c>
      <c r="C18" s="15" t="n">
        <v>23</v>
      </c>
      <c r="D18" s="15" t="n">
        <v>88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2026-10-01T05:33:41Z</dcterms:created>
  <dcterms:modified xsi:type="dcterms:W3CDTF">2026-10-01T05:33:41Z</dcterms:modified>
</cp:coreProperties>
</file>