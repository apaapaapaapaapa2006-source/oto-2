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'楽器'!$A$1:$G$25</definedName>
    <definedName name="_xlnm._FilterDatabase" localSheetId="2" hidden="1">'エフェクト'!$A$1:$G$132</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hyperlink" Target="https://apaapaapaapaapa2006-source.github.io/oto-2/crystal-bellows/" TargetMode="External" Id="rId24"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hyperlink" Target="https://apaapaapaapaapa2006-source.github.io/oto-2/afterimage/" TargetMode="External" Id="rId115" /><Relationship Type="http://schemas.openxmlformats.org/officeDocument/2006/relationships/hyperlink" Target="https://apaapaapaapaapa2006-source.github.io/oto-2/kogashi/" TargetMode="External" Id="rId116" /><Relationship Type="http://schemas.openxmlformats.org/officeDocument/2006/relationships/hyperlink" Target="https://apaapaapaapaapa2006-source.github.io/oto-2/mist-tracker/" TargetMode="External" Id="rId117" /><Relationship Type="http://schemas.openxmlformats.org/officeDocument/2006/relationships/hyperlink" Target="https://apaapaapaapaapa2006-source.github.io/oto-2/seiretsu/" TargetMode="External" Id="rId118" /><Relationship Type="http://schemas.openxmlformats.org/officeDocument/2006/relationships/hyperlink" Target="https://apaapaapaapaapa2006-source.github.io/oto-2/denkou/" TargetMode="External" Id="rId119" /><Relationship Type="http://schemas.openxmlformats.org/officeDocument/2006/relationships/hyperlink" Target="https://apaapaapaapaapa2006-source.github.io/oto-2/mabayui/" TargetMode="External" Id="rId120" /><Relationship Type="http://schemas.openxmlformats.org/officeDocument/2006/relationships/hyperlink" Target="https://apaapaapaapaapa2006-source.github.io/oto-2/medaka/" TargetMode="External" Id="rId121" /><Relationship Type="http://schemas.openxmlformats.org/officeDocument/2006/relationships/hyperlink" Target="https://apaapaapaapaapa2006-source.github.io/oto-2/hiku/" TargetMode="External" Id="rId122" /><Relationship Type="http://schemas.openxmlformats.org/officeDocument/2006/relationships/hyperlink" Target="https://apaapaapaapaapa2006-source.github.io/oto-2/mugen/" TargetMode="External" Id="rId123" /><Relationship Type="http://schemas.openxmlformats.org/officeDocument/2006/relationships/hyperlink" Target="https://apaapaapaapaapa2006-source.github.io/oto-2/nori/" TargetMode="External" Id="rId124" /><Relationship Type="http://schemas.openxmlformats.org/officeDocument/2006/relationships/hyperlink" Target="https://apaapaapaapaapa2006-source.github.io/oto-2/fringe/" TargetMode="External" Id="rId125" /><Relationship Type="http://schemas.openxmlformats.org/officeDocument/2006/relationships/hyperlink" Target="https://apaapaapaapaapa2006-source.github.io/oto-2/kara/" TargetMode="External" Id="rId126" /><Relationship Type="http://schemas.openxmlformats.org/officeDocument/2006/relationships/hyperlink" Target="https://apaapaapaapaapa2006-source.github.io/oto-2/shabon/" TargetMode="External" Id="rId127" /><Relationship Type="http://schemas.openxmlformats.org/officeDocument/2006/relationships/hyperlink" Target="https://apaapaapaapaapa2006-source.github.io/oto-2/dennou/" TargetMode="External" Id="rId128" /><Relationship Type="http://schemas.openxmlformats.org/officeDocument/2006/relationships/hyperlink" Target="https://apaapaapaapaapa2006-source.github.io/oto-2/tsumiki/" TargetMode="External" Id="rId129" /><Relationship Type="http://schemas.openxmlformats.org/officeDocument/2006/relationships/hyperlink" Target="https://apaapaapaapaapa2006-source.github.io/oto-2/touei/" TargetMode="External" Id="rId130" /><Relationship Type="http://schemas.openxmlformats.org/officeDocument/2006/relationships/hyperlink" Target="https://apaapaapaapaapa2006-source.github.io/oto-2/tsumamu/" TargetMode="External" Id="rId13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row r="25" ht="30" customHeight="1">
      <c r="A25" s="2" t="n">
        <v>24</v>
      </c>
      <c r="B25" s="3" t="inlineStr">
        <is>
          <t>〇</t>
        </is>
      </c>
      <c r="C25" s="2" t="inlineStr">
        <is>
          <t>2026-10-15</t>
        </is>
      </c>
      <c r="D25" s="4" t="inlineStr">
        <is>
          <t>CRYSTAL BELLOWS</t>
        </is>
      </c>
      <c r="E25" s="5" t="inlineStr">
        <is>
          <t>オーナーが持ち込んだ作品。目の前にガラスのクリスタルが浮かび、両手で挟んで広げる・縮めるとアコーディオンのふいごのように和音が鳴る。左右で和音、上下で明るさ、傾けで揺らぎ。撮影と録画ができる。</t>
        </is>
      </c>
      <c r="F25" s="6" t="n"/>
      <c r="G25" s="2" t="inlineStr">
        <is>
          <t>楽器</t>
        </is>
      </c>
    </row>
  </sheetData>
  <autoFilter ref="A1:G25"/>
  <dataValidations count="1">
    <dataValidation sqref="B2:B2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32"/>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AFTERIMAGE</t>
        </is>
      </c>
      <c r="E116" s="5" t="inlineStr">
        <is>
          <t>オーナーが持ち込んだ作品。動くたびに少し前の自分が後ろへ一列に並び遠近で縮みながら光る縁をつれて墨色に沈み溶けていく。動いたところは白く光って光の粒と煙が立ちのぼり動きが鐘とノイズの音になる。撮影と録画ができる。</t>
        </is>
      </c>
      <c r="F116" s="6" t="n"/>
      <c r="G116" s="2" t="inlineStr">
        <is>
          <t>エフェクト</t>
        </is>
      </c>
    </row>
    <row r="117" ht="30" customHeight="1">
      <c r="A117" s="2" t="n">
        <v>116</v>
      </c>
      <c r="B117" s="3" t="inlineStr">
        <is>
          <t>〇</t>
        </is>
      </c>
      <c r="C117" s="2" t="inlineStr">
        <is>
          <t>2026-10-12</t>
        </is>
      </c>
      <c r="D117" s="4" t="inlineStr">
        <is>
          <t>KOGASHI</t>
        </is>
      </c>
      <c r="E117" s="5" t="inlineStr">
        <is>
          <t>映った人が映写機にかかった温黒調の古いフィルムになる。動いたところからフィルムが焦げて泡立ち琥珀色の縁をつれて白く焼け抜けやがて冷えて閉じる。すばやく動くとコマが滑りタップした場所に火が入る。PRINT・NITRATE・EKTA の三つのフィルム。はじめは普通のカメラでボタンを押すと映写機のランプが瞬いてコマが降りてくる。撮影と録画ができる。</t>
        </is>
      </c>
      <c r="F117" s="6" t="n"/>
      <c r="G117" s="2" t="inlineStr">
        <is>
          <t>エフェクト</t>
        </is>
      </c>
    </row>
    <row r="118" ht="30" customHeight="1">
      <c r="A118" s="2" t="n">
        <v>117</v>
      </c>
      <c r="B118" s="3" t="inlineStr">
        <is>
          <t>〇</t>
        </is>
      </c>
      <c r="C118" s="2" t="inlineStr">
        <is>
          <t>2026-10-12</t>
        </is>
      </c>
      <c r="D118" s="4" t="inlineStr">
        <is>
          <t>MIST TRACKER</t>
        </is>
      </c>
      <c r="E118" s="5" t="inlineStr">
        <is>
          <t>オーナーが持ち込んだ作品。カメラに映った動きに J0925 のような追跡 ID が次々に振られ点どうしが線で結ばれ動いたかたまりが枠で囲まれ動いた場所から ID の付いた霧が立ちのぼる。動きが強いほど青いグリッチが走り新しい点や霧の粒が音で鳴る。音は DATA・AMBIENT・MELT・PULSE・GLASS の五つで画面の色も CYCLE・THERMAL・INVERT に変えられる。画面をタップすると UI が消える。撮影と録画ができる。</t>
        </is>
      </c>
      <c r="F118" s="6" t="n"/>
      <c r="G118" s="2" t="inlineStr">
        <is>
          <t>エフェクト</t>
        </is>
      </c>
    </row>
    <row r="119" ht="30" customHeight="1">
      <c r="A119" s="2" t="n">
        <v>118</v>
      </c>
      <c r="B119" s="3" t="inlineStr">
        <is>
          <t>〇</t>
        </is>
      </c>
      <c r="C119" s="2" t="inlineStr">
        <is>
          <t>2026-10-12</t>
        </is>
      </c>
      <c r="D119" s="4" t="inlineStr">
        <is>
          <t>SEIRETSU</t>
        </is>
      </c>
      <c r="E119"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9" s="6" t="n"/>
      <c r="G119" s="2" t="inlineStr">
        <is>
          <t>エフェクト</t>
        </is>
      </c>
    </row>
    <row r="120" ht="30" customHeight="1">
      <c r="A120" s="2" t="n">
        <v>119</v>
      </c>
      <c r="B120" s="3" t="inlineStr">
        <is>
          <t>〇</t>
        </is>
      </c>
      <c r="C120" s="2" t="inlineStr">
        <is>
          <t>2026-10-13</t>
        </is>
      </c>
      <c r="D120" s="4" t="inlineStr">
        <is>
          <t>DENKOU</t>
        </is>
      </c>
      <c r="E120" s="5" t="inlineStr">
        <is>
          <t>頭がクロームのヘルメットになり黒いバイザーの LED があなたのまばたき・視線・口・声をそのまま映す。首を振ると LED の光が尾を引きウインクすると光がヘルメットをなでる。二人で映ると銀と金の二人組に。はじめは普通のカメラでボタンを押すと暗転してヘルメットが降りてくる。撮影と録画ができる。</t>
        </is>
      </c>
      <c r="F120" s="6" t="n"/>
      <c r="G120" s="2" t="inlineStr">
        <is>
          <t>エフェクト</t>
        </is>
      </c>
    </row>
    <row r="121" ht="30" customHeight="1">
      <c r="A121" s="2" t="n">
        <v>120</v>
      </c>
      <c r="B121" s="3" t="inlineStr">
        <is>
          <t>〇</t>
        </is>
      </c>
      <c r="C121" s="2" t="inlineStr">
        <is>
          <t>2026-10-13</t>
        </is>
      </c>
      <c r="D121" s="4" t="inlineStr">
        <is>
          <t>MABAYUI</t>
        </is>
      </c>
      <c r="E121" s="5" t="inlineStr">
        <is>
          <t>明かりが落ちた撮影会場で手前に並ぶカメラマンたちのフラッシュがあなたを撮りまくる。光るたびに白黒の硬い写真のように一瞬が止まり光の来た向きで白い壁に影がくっきり落ちる。動いてから止まってポーズを決めると連写の嵐。タップした場所からも焚ける。PRESS・NIGHT・TUNGSTEN の三つの版。はじめは普通のカメラでボタンを押すと暗転して正面の一発で会場が現れる。撮影と録画ができる。</t>
        </is>
      </c>
      <c r="F121" s="6" t="n"/>
      <c r="G121" s="2" t="inlineStr">
        <is>
          <t>エフェクト</t>
        </is>
      </c>
    </row>
    <row r="122" ht="30" customHeight="1">
      <c r="A122" s="2" t="n">
        <v>121</v>
      </c>
      <c r="B122" s="3" t="inlineStr">
        <is>
          <t>〇</t>
        </is>
      </c>
      <c r="C122" s="2" t="inlineStr">
        <is>
          <t>2026-10-13</t>
        </is>
      </c>
      <c r="D122" s="4" t="inlineStr">
        <is>
          <t>MEDAKA</t>
        </is>
      </c>
      <c r="E122" s="5" t="inlineStr">
        <is>
          <t>オーナーの依頼で作った作品。めだかの群れのシルエットがカメラに映った顔や手のまわりを群れのままぐるぐる泳ぐ。顔や手を速く動かすと散ってまた戻ってくる。タップした場所にはえさが落ちて集まる。黒・緋・白・まぜるの四種類で数・速さ・大きさ・輪の広さを調整できる。撮影と録画ができる。</t>
        </is>
      </c>
      <c r="F122" s="6" t="n"/>
      <c r="G122" s="2" t="inlineStr">
        <is>
          <t>エフェクト</t>
        </is>
      </c>
    </row>
    <row r="123" ht="30" customHeight="1">
      <c r="A123" s="2" t="n">
        <v>122</v>
      </c>
      <c r="B123" s="3" t="inlineStr">
        <is>
          <t>〇</t>
        </is>
      </c>
      <c r="C123" s="2" t="inlineStr">
        <is>
          <t>2026-10-14</t>
        </is>
      </c>
      <c r="D123" s="4" t="inlineStr">
        <is>
          <t>HIKU</t>
        </is>
      </c>
      <c r="E123" s="5" t="inlineStr">
        <is>
          <t>オーナーが持ち込んだ作品。両手の同じ指どうしのあいだに見えない糸が五本張られあやとりのように引くとカメラの映像が糸に沿って透明なガラスのスライムのようにとろりと伸び虹色の縁とハイライトをつれて垂れながら残る。糸が短いほど高い音が鳴り片手なら指先だけが溶ける。撮影と録画ができる。</t>
        </is>
      </c>
      <c r="F123" s="6" t="n"/>
      <c r="G123" s="2" t="inlineStr">
        <is>
          <t>エフェクト</t>
        </is>
      </c>
    </row>
    <row r="124" ht="30" customHeight="1">
      <c r="A124" s="2" t="n">
        <v>123</v>
      </c>
      <c r="B124" s="3" t="inlineStr">
        <is>
          <t>〇</t>
        </is>
      </c>
      <c r="C124" s="2" t="inlineStr">
        <is>
          <t>2026-10-14</t>
        </is>
      </c>
      <c r="D124" s="4" t="inlineStr">
        <is>
          <t>MUGEN</t>
        </is>
      </c>
      <c r="E124" s="5" t="inlineStr">
        <is>
          <t>鏡張りの暗い部屋に灯りが何千もともり映ったあなたが左右と奥の鏡に何百人も並んで闇の果てまで続く。遠くの映り込みほど遅れてついてくるので動くと列が波打ち光の波が奥へ走る。金・七色・氷の三つの灯り。ときどき灯りがすべて消えてまた灯る。はじめは普通のカメラでボタンを押すと暗転して手前から灯りがともる。撮影と録画ができる。</t>
        </is>
      </c>
      <c r="F124" s="6" t="n"/>
      <c r="G124" s="2" t="inlineStr">
        <is>
          <t>エフェクト</t>
        </is>
      </c>
    </row>
    <row r="125" ht="30" customHeight="1">
      <c r="A125" s="2" t="n">
        <v>124</v>
      </c>
      <c r="B125" s="3" t="inlineStr">
        <is>
          <t>〇</t>
        </is>
      </c>
      <c r="C125" s="2" t="inlineStr">
        <is>
          <t>2026-10-14</t>
        </is>
      </c>
      <c r="D125" s="4" t="inlineStr">
        <is>
          <t>NORI</t>
        </is>
      </c>
      <c r="E125" s="5" t="inlineStr">
        <is>
          <t>映った人が一色の地の上の真っ黒なシルエットになり耳から白いイヤホンのコードが垂れて手のプレーヤーへつながる。踊ればコードがしなって跳ね内蔵のビートの拍で地の色がばっさり切り替わる。跳ぶかタップしても替わり速く動くと一段暗い色の残像がついてくる。二人で映ればそれぞれにコード。はじめは普通のカメラでボタンを押すと影になりコードが空から落ちてくる。撮影と録画ができる。</t>
        </is>
      </c>
      <c r="F125" s="6" t="n"/>
      <c r="G125" s="2" t="inlineStr">
        <is>
          <t>エフェクト</t>
        </is>
      </c>
    </row>
    <row r="126" ht="30" customHeight="1">
      <c r="A126" s="2" t="n">
        <v>125</v>
      </c>
      <c r="B126" s="3" t="inlineStr">
        <is>
          <t>〇</t>
        </is>
      </c>
      <c r="C126" s="2" t="inlineStr">
        <is>
          <t>2026-10-15</t>
        </is>
      </c>
      <c r="D126" s="4" t="inlineStr">
        <is>
          <t>FRINGE</t>
        </is>
      </c>
      <c r="E126" s="5" t="inlineStr">
        <is>
          <t>オーナーが持ち込んだ作品。動いたところから透明な羽が生えて体にまとわりつき、景色をガラスのように曲げながら消えていく。羽には少し前の自分が映る。絹・葉・ガラスの三つの羽。撮影と録画ができる。</t>
        </is>
      </c>
      <c r="F126" s="6" t="n"/>
      <c r="G126" s="2" t="inlineStr">
        <is>
          <t>エフェクト</t>
        </is>
      </c>
    </row>
    <row r="127" ht="30" customHeight="1">
      <c r="A127" s="2" t="n">
        <v>126</v>
      </c>
      <c r="B127" s="3" t="inlineStr">
        <is>
          <t>〇</t>
        </is>
      </c>
      <c r="C127" s="2" t="inlineStr">
        <is>
          <t>2026-10-15</t>
        </is>
      </c>
      <c r="D127" s="4" t="inlineStr">
        <is>
          <t>KARA</t>
        </is>
      </c>
      <c r="E127" s="5" t="inlineStr">
        <is>
          <t>映った人の体が 3D プリントの白い格子になる。動いたところから肌の殻が一枚ずつはがれて落ち格子の穴から向こうの壁が透ける。止まればゆっくり戻る。体をタップするとそこだけ開き「全身」で橙のレーザーが頭から足まで走る。NYLON・CHROME・OBSIDIAN・LUMEN の四つの素材。はじめは普通のカメラでボタンを押すとレーザーが体をなぞって切り替わる。撮影と録画ができる。</t>
        </is>
      </c>
      <c r="F127" s="6" t="n"/>
      <c r="G127" s="2" t="inlineStr">
        <is>
          <t>エフェクト</t>
        </is>
      </c>
    </row>
    <row r="128" ht="30" customHeight="1">
      <c r="A128" s="2" t="n">
        <v>127</v>
      </c>
      <c r="B128" s="3" t="inlineStr">
        <is>
          <t>〇</t>
        </is>
      </c>
      <c r="C128" s="2" t="inlineStr">
        <is>
          <t>2026-10-15</t>
        </is>
      </c>
      <c r="D128" s="4" t="inlineStr">
        <is>
          <t>SHABON</t>
        </is>
      </c>
      <c r="E128" s="5" t="inlineStr">
        <is>
          <t>オーナーが持ち込んだ作品。カメラの前に大きなシャボン玉が浮かび、カメラに映った手でさわるとへこんでぷるんと戻る。奥まで押すと玉が逃げる。シルクのような淡い膜に景色が映り込む。撮影と録画ができる。</t>
        </is>
      </c>
      <c r="F128" s="6" t="n"/>
      <c r="G128" s="2" t="inlineStr">
        <is>
          <t>エフェクト</t>
        </is>
      </c>
    </row>
    <row r="129" ht="30" customHeight="1">
      <c r="A129" s="2" t="n">
        <v>128</v>
      </c>
      <c r="B129" s="3" t="inlineStr">
        <is>
          <t>〇</t>
        </is>
      </c>
      <c r="C129" s="2" t="inlineStr">
        <is>
          <t>2026-10-16</t>
        </is>
      </c>
      <c r="D129" s="4" t="inlineStr">
        <is>
          <t>DENNOU</t>
        </is>
      </c>
      <c r="E129" s="5" t="inlineStr">
        <is>
          <t>レーザーに読み込まれて、あなたは光の格子の世界に立つ。体は光の線が走る黒いスーツに、顔は冷たい光に照らされる。横に動けば両脇の光の壁が直角に折れながら地平線へ伸び、手は光の帯を引き、跳ぶか体をタップすると光の立方体に砕けてまた組み上がる。USER・PROGRAM・ISO・1982 の四色、二人で映ると二色に分かれる。はじめは普通のカメラで、ボタンを押すと赤いレーザーが走って切り替わる。撮影と録画ができる。</t>
        </is>
      </c>
      <c r="F129" s="6" t="n"/>
      <c r="G129" s="2" t="inlineStr">
        <is>
          <t>エフェクト</t>
        </is>
      </c>
    </row>
    <row r="130" ht="30" customHeight="1">
      <c r="A130" s="2" t="n">
        <v>129</v>
      </c>
      <c r="B130" s="3" t="inlineStr">
        <is>
          <t>〇</t>
        </is>
      </c>
      <c r="C130" s="2" t="inlineStr">
        <is>
          <t>2026-10-16</t>
        </is>
      </c>
      <c r="D130" s="4" t="inlineStr">
        <is>
          <t>TSUMIKI</t>
        </is>
      </c>
      <c r="E130" s="5" t="inlineStr">
        <is>
          <t>オーナーが見せてくれた動画から作った作品。カメラの景色が小さなキューブを積んだ立体の箱庭になる。人と手は手前に飛び出し、奥の壁はまばらなブロックになって宙に浮く。動くとブロックがこぼれ、たたくと波が走る。BLOCK・TOY・MONO の三つ。撮影と録画ができる。</t>
        </is>
      </c>
      <c r="F130" s="6" t="n"/>
      <c r="G130" s="2" t="inlineStr">
        <is>
          <t>エフェクト</t>
        </is>
      </c>
    </row>
    <row r="131" ht="30" customHeight="1">
      <c r="A131" s="2" t="n">
        <v>130</v>
      </c>
      <c r="B131" s="3" t="inlineStr">
        <is>
          <t>〇</t>
        </is>
      </c>
      <c r="C131" s="2" t="inlineStr">
        <is>
          <t>2026-10-17</t>
        </is>
      </c>
      <c r="D131" s="4" t="inlineStr">
        <is>
          <t>TOUEI</t>
        </is>
      </c>
      <c r="E131" s="5" t="inlineStr">
        <is>
          <t>暗い部屋で、プロジェクターの光だけがあなたを照らす。顔には白い面・骸骨・墨の涙・網・隈取りがぴたりと映り、体には光の縞が曲面に沿って走る。速く動くと光が追いつかず、顔の絵が奥の壁へこぼれる。首を横に振ると面が替わる。撮影と録画ができる。</t>
        </is>
      </c>
      <c r="F131" s="6" t="n"/>
      <c r="G131" s="2" t="inlineStr">
        <is>
          <t>エフェクト</t>
        </is>
      </c>
    </row>
    <row r="132" ht="30" customHeight="1">
      <c r="A132" s="2" t="n">
        <v>131</v>
      </c>
      <c r="B132" s="3" t="inlineStr">
        <is>
          <t>〇</t>
        </is>
      </c>
      <c r="C132" s="2" t="inlineStr">
        <is>
          <t>2026-10-17</t>
        </is>
      </c>
      <c r="D132" s="4" t="inlineStr">
        <is>
          <t>TSUMAMU</t>
        </is>
      </c>
      <c r="E132" s="5" t="inlineStr">
        <is>
          <t>カメラの映像を親指と人差し指でつまんで引っぱれる。映像はゼリーのような透明な膜になって伸び、離すとぷるんと揺れて「ぼよん」と鳴りながら戻る。両手でつまめば手のあいだで引き伸ばせ、指ではじくと波紋が走る。ゼリー・ゴム・蜜の三つの素材。撮影と録画ができる。</t>
        </is>
      </c>
      <c r="F132" s="6" t="n"/>
      <c r="G132" s="2" t="inlineStr">
        <is>
          <t>エフェクト</t>
        </is>
      </c>
    </row>
  </sheetData>
  <autoFilter ref="A1:G132"/>
  <dataValidations count="1">
    <dataValidation sqref="B2:B132"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COUNTIF(楽器!$B$2:$B$25,"〇")</f>
        <v/>
      </c>
      <c r="D15" s="13">
        <f>COUNTIF(エフェクト!$B$2:$B$132,"〇")</f>
        <v/>
      </c>
      <c r="E15" s="14">
        <f>SUM(B15:D15)</f>
        <v/>
      </c>
    </row>
    <row r="16">
      <c r="A16" s="11" t="inlineStr">
        <is>
          <t>△</t>
        </is>
      </c>
      <c r="B16" s="13">
        <f>COUNTIF(ゲーム!$B$2:$B$15,"△")</f>
        <v/>
      </c>
      <c r="C16" s="13">
        <f>COUNTIF(楽器!$B$2:$B$25,"△")</f>
        <v/>
      </c>
      <c r="D16" s="13">
        <f>COUNTIF(エフェクト!$B$2:$B$132,"△")</f>
        <v/>
      </c>
      <c r="E16" s="14">
        <f>SUM(B16:D16)</f>
        <v/>
      </c>
    </row>
    <row r="17">
      <c r="A17" s="11" t="inlineStr">
        <is>
          <t>×</t>
        </is>
      </c>
      <c r="B17" s="13">
        <f>COUNTIF(ゲーム!$B$2:$B$15,"×")</f>
        <v/>
      </c>
      <c r="C17" s="13">
        <f>COUNTIF(楽器!$B$2:$B$25,"×")</f>
        <v/>
      </c>
      <c r="D17" s="13">
        <f>COUNTIF(エフェクト!$B$2:$B$132,"×")</f>
        <v/>
      </c>
      <c r="E17" s="14">
        <f>SUM(B17:D17)</f>
        <v/>
      </c>
    </row>
    <row r="18">
      <c r="A18" s="11" t="inlineStr">
        <is>
          <t>作品数</t>
        </is>
      </c>
      <c r="B18" s="15" t="n">
        <v>14</v>
      </c>
      <c r="C18" s="15" t="n">
        <v>24</v>
      </c>
      <c r="D18" s="15" t="n">
        <v>131</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2026-10-16T18:34:26Z</dcterms:created>
  <dcterms:modified xsi:type="dcterms:W3CDTF">2026-10-16T18:34:26Z</dcterms:modified>
</cp:coreProperties>
</file>