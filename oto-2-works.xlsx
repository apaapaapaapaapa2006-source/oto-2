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touei/" TargetMode="External" Id="rId130" /><Relationship Type="http://schemas.openxmlformats.org/officeDocument/2006/relationships/hyperlink" Target="https://apaapaapaapaapa2006-source.github.io/oto-2/tsumamu/" TargetMode="External" Id="rId13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TOUEI</t>
        </is>
      </c>
      <c r="E131"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1" s="6" t="n"/>
      <c r="G131" s="2" t="inlineStr">
        <is>
          <t>エフェクト</t>
        </is>
      </c>
    </row>
    <row r="132" ht="30" customHeight="1">
      <c r="A132" s="2" t="n">
        <v>131</v>
      </c>
      <c r="B132" s="3" t="inlineStr">
        <is>
          <t>〇</t>
        </is>
      </c>
      <c r="C132" s="2" t="inlineStr">
        <is>
          <t>2026-10-17</t>
        </is>
      </c>
      <c r="D132" s="4" t="inlineStr">
        <is>
          <t>TSUMAMU</t>
        </is>
      </c>
      <c r="E132" s="5" t="inlineStr">
        <is>
          <t>カメラの映像を親指と人差し指でつまんで引っぱれる。映像はゼリーのような透明な膜になって伸び、離すとぷるんと揺れて「ぼよん」と鳴りながら戻る。両手でつまめば手のあいだで引き伸ばせ、引っぱりすぎるとちぎれて、切れ端を好きな所にシールのように貼れる。指ではじくと波紋が走り、声や手拍子でも膜が震える。ゼリー・ゴム・蜜の三つの素材と、素・銀・桃・藍・夜光の五つの色。撮影と録画ができる。</t>
        </is>
      </c>
      <c r="F132" s="6" t="n"/>
      <c r="G132" s="2" t="inlineStr">
        <is>
          <t>エフェクト</t>
        </is>
      </c>
    </row>
  </sheetData>
  <autoFilter ref="A1:G132"/>
  <dataValidations count="1">
    <dataValidation sqref="B2:B13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COUNTIF(エフェクト!$B$2:$B$132,"〇")</f>
        <v/>
      </c>
      <c r="E15" s="14">
        <f>SUM(B15:D15)</f>
        <v/>
      </c>
    </row>
    <row r="16">
      <c r="A16" s="11" t="inlineStr">
        <is>
          <t>△</t>
        </is>
      </c>
      <c r="B16" s="13">
        <f>COUNTIF(ゲーム!$B$2:$B$15,"△")</f>
        <v/>
      </c>
      <c r="C16" s="13">
        <f>COUNTIF(楽器!$B$2:$B$25,"△")</f>
        <v/>
      </c>
      <c r="D16" s="13">
        <f>COUNTIF(エフェクト!$B$2:$B$132,"△")</f>
        <v/>
      </c>
      <c r="E16" s="14">
        <f>SUM(B16:D16)</f>
        <v/>
      </c>
    </row>
    <row r="17">
      <c r="A17" s="11" t="inlineStr">
        <is>
          <t>×</t>
        </is>
      </c>
      <c r="B17" s="13">
        <f>COUNTIF(ゲーム!$B$2:$B$15,"×")</f>
        <v/>
      </c>
      <c r="C17" s="13">
        <f>COUNTIF(楽器!$B$2:$B$25,"×")</f>
        <v/>
      </c>
      <c r="D17" s="13">
        <f>COUNTIF(エフェクト!$B$2:$B$132,"×")</f>
        <v/>
      </c>
      <c r="E17" s="14">
        <f>SUM(B17:D17)</f>
        <v/>
      </c>
    </row>
    <row r="18">
      <c r="A18" s="11" t="inlineStr">
        <is>
          <t>作品数</t>
        </is>
      </c>
      <c r="B18" s="15" t="n">
        <v>14</v>
      </c>
      <c r="C18" s="15" t="n">
        <v>24</v>
      </c>
      <c r="D18" s="15" t="n">
        <v>131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2026-10-16T21:54:17Z</dcterms:created>
  <dcterms:modified xsi:type="dcterms:W3CDTF">2026-10-16T21:54:18Z</dcterms:modified>
</cp:coreProperties>
</file>