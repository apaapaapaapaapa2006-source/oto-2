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'楽器'!$A$1:$G$25</definedName>
    <definedName name="_xlnm._FilterDatabase" localSheetId="2" hidden="1">'エフェクト'!$A$1:$G$138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hyperlink" Target="https://apaapaapaapaapa2006-source.github.io/oto-2/crystal-bellows/" TargetMode="External" Id="rId24"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fringe/" TargetMode="External" Id="rId125" /><Relationship Type="http://schemas.openxmlformats.org/officeDocument/2006/relationships/hyperlink" Target="https://apaapaapaapaapa2006-source.github.io/oto-2/kara/" TargetMode="External" Id="rId126" /><Relationship Type="http://schemas.openxmlformats.org/officeDocument/2006/relationships/hyperlink" Target="https://apaapaapaapaapa2006-source.github.io/oto-2/shabon/" TargetMode="External" Id="rId127" /><Relationship Type="http://schemas.openxmlformats.org/officeDocument/2006/relationships/hyperlink" Target="https://apaapaapaapaapa2006-source.github.io/oto-2/dennou/" TargetMode="External" Id="rId128" /><Relationship Type="http://schemas.openxmlformats.org/officeDocument/2006/relationships/hyperlink" Target="https://apaapaapaapaapa2006-source.github.io/oto-2/tsumiki/" TargetMode="External" Id="rId129" /><Relationship Type="http://schemas.openxmlformats.org/officeDocument/2006/relationships/hyperlink" Target="https://apaapaapaapaapa2006-source.github.io/oto-2/gekiga/" TargetMode="External" Id="rId130" /><Relationship Type="http://schemas.openxmlformats.org/officeDocument/2006/relationships/hyperlink" Target="https://apaapaapaapaapa2006-source.github.io/oto-2/shard/" TargetMode="External" Id="rId131" /><Relationship Type="http://schemas.openxmlformats.org/officeDocument/2006/relationships/hyperlink" Target="https://apaapaapaapaapa2006-source.github.io/oto-2/touei/" TargetMode="External" Id="rId132" /><Relationship Type="http://schemas.openxmlformats.org/officeDocument/2006/relationships/hyperlink" Target="https://apaapaapaapaapa2006-source.github.io/oto-2/tsumamu/" TargetMode="External" Id="rId133" /><Relationship Type="http://schemas.openxmlformats.org/officeDocument/2006/relationships/hyperlink" Target="https://apaapaapaapaapa2006-source.github.io/oto-2/tsumamu-naked/" TargetMode="External" Id="rId134" /><Relationship Type="http://schemas.openxmlformats.org/officeDocument/2006/relationships/hyperlink" Target="https://apaapaapaapaapa2006-source.github.io/oto-2/psyche-mirror-2/" TargetMode="External" Id="rId135" /><Relationship Type="http://schemas.openxmlformats.org/officeDocument/2006/relationships/hyperlink" Target="https://apaapaapaapaapa2006-source.github.io/oto-2/tatamu/" TargetMode="External" Id="rId136" /><Relationship Type="http://schemas.openxmlformats.org/officeDocument/2006/relationships/hyperlink" Target="https://apaapaapaapaapa2006-source.github.io/oto-2/tamasudare/" TargetMode="External" Id="rId137"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row r="25" ht="30" customHeight="1">
      <c r="A25" s="2" t="n">
        <v>24</v>
      </c>
      <c r="B25" s="3" t="inlineStr">
        <is>
          <t>〇</t>
        </is>
      </c>
      <c r="C25" s="2" t="inlineStr">
        <is>
          <t>2026-10-15</t>
        </is>
      </c>
      <c r="D25" s="4" t="inlineStr">
        <is>
          <t>CRYSTAL BELLOWS</t>
        </is>
      </c>
      <c r="E25" s="5" t="inlineStr">
        <is>
          <t>オーナーが持ち込んだ作品。目の前にガラスのクリスタルが浮かび、両手で挟んで広げる・縮めるとアコーディオンのふいごのように和音が鳴る。左右で和音、上下で明るさ、傾けで揺らぎ。撮影と録画ができる。</t>
        </is>
      </c>
      <c r="F25" s="6" t="n"/>
      <c r="G25" s="2" t="inlineStr">
        <is>
          <t>楽器</t>
        </is>
      </c>
    </row>
  </sheetData>
  <autoFilter ref="A1:G25"/>
  <dataValidations count="1">
    <dataValidation sqref="B2:B2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38"/>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row r="128" ht="30" customHeight="1">
      <c r="A128" s="2" t="n">
        <v>127</v>
      </c>
      <c r="B128" s="3" t="inlineStr">
        <is>
          <t>〇</t>
        </is>
      </c>
      <c r="C128" s="2" t="inlineStr">
        <is>
          <t>2026-10-15</t>
        </is>
      </c>
      <c r="D128" s="4" t="inlineStr">
        <is>
          <t>SHABON</t>
        </is>
      </c>
      <c r="E128" s="5" t="inlineStr">
        <is>
          <t>オーナーが持ち込んだ作品。カメラの前に大きなシャボン玉が浮かび、カメラに映った手でさわるとへこんでぷるんと戻る。奥まで押すと玉が逃げる。シルクのような淡い膜に景色が映り込む。撮影と録画ができる。</t>
        </is>
      </c>
      <c r="F128" s="6" t="n"/>
      <c r="G128" s="2" t="inlineStr">
        <is>
          <t>エフェクト</t>
        </is>
      </c>
    </row>
    <row r="129" ht="30" customHeight="1">
      <c r="A129" s="2" t="n">
        <v>128</v>
      </c>
      <c r="B129" s="3" t="inlineStr">
        <is>
          <t>〇</t>
        </is>
      </c>
      <c r="C129" s="2" t="inlineStr">
        <is>
          <t>2026-10-16</t>
        </is>
      </c>
      <c r="D129" s="4" t="inlineStr">
        <is>
          <t>DENNOU</t>
        </is>
      </c>
      <c r="E129" s="5" t="inlineStr">
        <is>
          <t>レーザーに読み込まれて、あなたは光の格子の世界に立つ。体は光の線が走る黒いスーツに、顔は冷たい光に照らされる。横に動けば両脇の光の壁が直角に折れながら地平線へ伸び、手は光の帯を引き、跳ぶか体をタップすると光の立方体に砕けてまた組み上がる。USER・PROGRAM・ISO・1982 の四色、二人で映ると二色に分かれる。はじめは普通のカメラで、ボタンを押すと赤いレーザーが走って切り替わる。撮影と録画ができる。</t>
        </is>
      </c>
      <c r="F129" s="6" t="n"/>
      <c r="G129" s="2" t="inlineStr">
        <is>
          <t>エフェクト</t>
        </is>
      </c>
    </row>
    <row r="130" ht="30" customHeight="1">
      <c r="A130" s="2" t="n">
        <v>129</v>
      </c>
      <c r="B130" s="3" t="inlineStr">
        <is>
          <t>〇</t>
        </is>
      </c>
      <c r="C130" s="2" t="inlineStr">
        <is>
          <t>2026-10-16</t>
        </is>
      </c>
      <c r="D130" s="4" t="inlineStr">
        <is>
          <t>TSUMIKI</t>
        </is>
      </c>
      <c r="E130" s="5" t="inlineStr">
        <is>
          <t>オーナーが見せてくれた動画から作った作品。カメラの景色が小さなキューブを積んだ立体の箱庭になる。人と手は手前に飛び出し、奥の壁はまばらなブロックになって宙に浮く。動くとブロックがこぼれ、たたくと波が走る。BLOCK・TOY・MONO の三つ。撮影と録画ができる。</t>
        </is>
      </c>
      <c r="F130" s="6" t="n"/>
      <c r="G130" s="2" t="inlineStr">
        <is>
          <t>エフェクト</t>
        </is>
      </c>
    </row>
    <row r="131" ht="30" customHeight="1">
      <c r="A131" s="2" t="n">
        <v>130</v>
      </c>
      <c r="B131" s="3" t="inlineStr">
        <is>
          <t>〇</t>
        </is>
      </c>
      <c r="C131" s="2" t="inlineStr">
        <is>
          <t>2026-10-17</t>
        </is>
      </c>
      <c r="D131" s="4" t="inlineStr">
        <is>
          <t>GEKIGA CAM</t>
        </is>
      </c>
      <c r="E131" s="5" t="inlineStr">
        <is>
          <t>オーナーが持ち込んだ作品。カメラの映像がそのまま昔の劇画の一コマになる。平らに塗られた面と墨の輪郭線とべた塗りの影、染みと焼けのある紙、ちぎれた紙のふち。劇画セピア・浮世絵・墨・夕焼け・ポップの五つ。写真と動画で撮れる。</t>
        </is>
      </c>
      <c r="F131" s="6" t="n"/>
      <c r="G131" s="2" t="inlineStr">
        <is>
          <t>エフェクト</t>
        </is>
      </c>
    </row>
    <row r="132" ht="30" customHeight="1">
      <c r="A132" s="2" t="n">
        <v>131</v>
      </c>
      <c r="B132" s="3" t="inlineStr">
        <is>
          <t>〇</t>
        </is>
      </c>
      <c r="C132" s="2" t="inlineStr">
        <is>
          <t>2026-10-17</t>
        </is>
      </c>
      <c r="D132" s="4" t="inlineStr">
        <is>
          <t>SHARD</t>
        </is>
      </c>
      <c r="E132" s="5" t="inlineStr">
        <is>
          <t>オーナーが持ち込んだサンプルエディタ。録音ボタンを長押しして声や物音を録り、波形から好きな所を切り出して、右の線をなぞると音程を変えて弾ける。逆再生・正規化・自動トリム・音程の自動検出・フェード・WAV 保存。これから映像の作品に育てていく。</t>
        </is>
      </c>
      <c r="F132" s="6" t="n"/>
      <c r="G132" s="2" t="inlineStr">
        <is>
          <t>エフェクト</t>
        </is>
      </c>
    </row>
    <row r="133" ht="30" customHeight="1">
      <c r="A133" s="2" t="n">
        <v>132</v>
      </c>
      <c r="B133" s="3" t="inlineStr">
        <is>
          <t>〇</t>
        </is>
      </c>
      <c r="C133" s="2" t="inlineStr">
        <is>
          <t>2026-10-17</t>
        </is>
      </c>
      <c r="D133" s="4" t="inlineStr">
        <is>
          <t>TOUEI</t>
        </is>
      </c>
      <c r="E133" s="5" t="inlineStr">
        <is>
          <t>暗い部屋で、プロジェクターの光だけがあなたを照らす。顔には白い面・骸骨・墨の涙・網・隈取りがぴたりと映り、体には光の縞が曲面に沿って走る。速く動くと光が追いつかず、顔の絵が奥の壁へこぼれる。首を横に振ると面が替わる。撮影と録画ができる。</t>
        </is>
      </c>
      <c r="F133" s="6" t="n"/>
      <c r="G133" s="2" t="inlineStr">
        <is>
          <t>エフェクト</t>
        </is>
      </c>
    </row>
    <row r="134" ht="30" customHeight="1">
      <c r="A134" s="2" t="n">
        <v>133</v>
      </c>
      <c r="B134" s="3" t="inlineStr">
        <is>
          <t>〇</t>
        </is>
      </c>
      <c r="C134" s="2" t="inlineStr">
        <is>
          <t>2026-10-17</t>
        </is>
      </c>
      <c r="D134" s="4" t="inlineStr">
        <is>
          <t>TSUMAMU</t>
        </is>
      </c>
      <c r="E134" s="5" t="inlineStr">
        <is>
          <t>カメラの映像を指でつまんで引っぱれる（「手でつまむ」を入にすればカメラに映った親指と人差し指でも）。映像はゼリーのような透明な膜になって伸び、離すとぷるんと揺れて「ぼよん」と鳴りながら戻る。両手でつまめば手のあいだで引き伸ばせ、引っぱりすぎるとちぎれて、切れ端を好きな所にシールのように貼れる（「↺ リセット」でまとめて落とせる）。指ではじくと波紋が走り、声や手拍子でも膜が震える。ゼリー・ゴム・蜜の三つの素材と、素・銀・桃・藍・夜光の五つの色。撮影と録画ができる。</t>
        </is>
      </c>
      <c r="F134" s="6" t="n"/>
      <c r="G134" s="2" t="inlineStr">
        <is>
          <t>エフェクト</t>
        </is>
      </c>
    </row>
    <row r="135" ht="30" customHeight="1">
      <c r="A135" s="2" t="n">
        <v>134</v>
      </c>
      <c r="B135" s="3" t="inlineStr">
        <is>
          <t>〇</t>
        </is>
      </c>
      <c r="C135" s="2" t="inlineStr">
        <is>
          <t>2026-10-17</t>
        </is>
      </c>
      <c r="D135" s="4" t="inlineStr">
        <is>
          <t>TSUMAMU NAKED</t>
        </is>
      </c>
      <c r="E135" s="5" t="inlineStr">
        <is>
          <t>TSUMAMU の最初の版（色の切り替え・ちぎる・貼る・声を足す前）。カメラの映像を親指と人差し指でつまんで引っぱると、ゼリーのような透明な膜になって伸び、離すとぷるんと揺れて「ぼよん」と鳴りながら戻る。両手でつまめば手のあいだで引き伸ばせ、指ではじくと波紋が走る。ゼリー・ゴム・蜜の三つの素材。撮影と録画ができる。</t>
        </is>
      </c>
      <c r="F135" s="6" t="n"/>
      <c r="G135" s="2" t="inlineStr">
        <is>
          <t>エフェクト</t>
        </is>
      </c>
    </row>
    <row r="136" ht="30" customHeight="1">
      <c r="A136" s="2" t="n">
        <v>135</v>
      </c>
      <c r="B136" s="3" t="inlineStr">
        <is>
          <t>〇</t>
        </is>
      </c>
      <c r="C136" s="2" t="inlineStr">
        <is>
          <t>2026-10-18</t>
        </is>
      </c>
      <c r="D136" s="4" t="inlineStr">
        <is>
          <t>PSYCHE MIRROR II</t>
        </is>
      </c>
      <c r="E136" s="5" t="inlineStr">
        <is>
          <t>PSYCHE MIRROR の新しい版。カメラをじっと見つめると髪が液体のマーブル絵の具になって頭からはじけ出す。顔は白い紙のように抜け後ろで色の粉が爆発ししぶきが線を引いて飛ぶ。頭をふるとしぶき・口をあけると爆発・目を長めにとじると配色がかわる。</t>
        </is>
      </c>
      <c r="F136" s="6" t="n"/>
      <c r="G136" s="2" t="inlineStr">
        <is>
          <t>エフェクト</t>
        </is>
      </c>
    </row>
    <row r="137" ht="30" customHeight="1">
      <c r="A137" s="2" t="n">
        <v>136</v>
      </c>
      <c r="B137" s="3" t="inlineStr">
        <is>
          <t>〇</t>
        </is>
      </c>
      <c r="C137" s="2" t="inlineStr">
        <is>
          <t>2026-10-18</t>
        </is>
      </c>
      <c r="D137" s="4" t="inlineStr">
        <is>
          <t>TATAMU</t>
        </is>
      </c>
      <c r="E137" s="5" t="inlineStr">
        <is>
          <t>指を曲げると指の付け根の線で部屋の景色が紙のように折れて起き上がり頭上へ覆いかぶさる。両手なら両側の壁が立ちタップで折り目を残して部屋を箱のように組める。</t>
        </is>
      </c>
      <c r="F137" s="6" t="n"/>
      <c r="G137" s="2" t="inlineStr">
        <is>
          <t>エフェクト</t>
        </is>
      </c>
    </row>
    <row r="138" ht="30" customHeight="1">
      <c r="A138" s="2" t="n">
        <v>137</v>
      </c>
      <c r="B138" s="3" t="inlineStr">
        <is>
          <t>〇</t>
        </is>
      </c>
      <c r="C138" s="2" t="inlineStr">
        <is>
          <t>2026-10-19</t>
        </is>
      </c>
      <c r="D138" s="4" t="inlineStr">
        <is>
          <t>TAMASUDARE</t>
        </is>
      </c>
      <c r="E138" s="5" t="inlineStr">
        <is>
          <t>カメラの前に硝子の玉すだれが下りてくる。手や腕を入れると玉がよけて揺れからからと鳴る。握れば玉の束をつかんで寄せられはなせば揺れもどる。玉はひとつずつ向こうの景色をさかさまに映す。クリスタル・オーロラ・琥珀・黒硝子の四つ。</t>
        </is>
      </c>
      <c r="F138" s="6" t="n"/>
      <c r="G138" s="2" t="inlineStr">
        <is>
          <t>エフェクト</t>
        </is>
      </c>
    </row>
  </sheetData>
  <autoFilter ref="A1:G138"/>
  <dataValidations count="1">
    <dataValidation sqref="B2:B138"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COUNTIF(楽器!$B$2:$B$25,"〇")</f>
        <v/>
      </c>
      <c r="D15" s="13">
        <f>COUNTIF(エフェクト!$B$2:$B$138,"〇")</f>
        <v/>
      </c>
      <c r="E15" s="14">
        <f>SUM(B15:D15)</f>
        <v/>
      </c>
    </row>
    <row r="16">
      <c r="A16" s="11" t="inlineStr">
        <is>
          <t>△</t>
        </is>
      </c>
      <c r="B16" s="13">
        <f>COUNTIF(ゲーム!$B$2:$B$15,"△")</f>
        <v/>
      </c>
      <c r="C16" s="13">
        <f>COUNTIF(楽器!$B$2:$B$25,"△")</f>
        <v/>
      </c>
      <c r="D16" s="13">
        <f>COUNTIF(エフェクト!$B$2:$B$138,"△")</f>
        <v/>
      </c>
      <c r="E16" s="14">
        <f>SUM(B16:D16)</f>
        <v/>
      </c>
    </row>
    <row r="17">
      <c r="A17" s="11" t="inlineStr">
        <is>
          <t>×</t>
        </is>
      </c>
      <c r="B17" s="13">
        <f>COUNTIF(ゲーム!$B$2:$B$15,"×")</f>
        <v/>
      </c>
      <c r="C17" s="13">
        <f>COUNTIF(楽器!$B$2:$B$25,"×")</f>
        <v/>
      </c>
      <c r="D17" s="13">
        <f>COUNTIF(エフェクト!$B$2:$B$138,"×")</f>
        <v/>
      </c>
      <c r="E17" s="14">
        <f>SUM(B17:D17)</f>
        <v/>
      </c>
    </row>
    <row r="18">
      <c r="A18" s="11" t="inlineStr">
        <is>
          <t>作品数</t>
        </is>
      </c>
      <c r="B18" s="15" t="n">
        <v>14</v>
      </c>
      <c r="C18" s="15" t="n">
        <v>24</v>
      </c>
      <c r="D18" s="15" t="n">
        <v>137</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2026-10-18T23:08:32Z</dcterms:created>
  <dcterms:modified xsi:type="dcterms:W3CDTF">2026-10-18T23:08:32Z</dcterms:modified>
</cp:coreProperties>
</file>