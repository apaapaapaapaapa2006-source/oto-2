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haruka/" TargetMode="External" Id="rId81" /><Relationship Type="http://schemas.openxmlformats.org/officeDocument/2006/relationships/hyperlink" Target="https://apaapaapaapaapa2006-source.github.io/oto-2/kiribari/" TargetMode="External" Id="rId82" /><Relationship Type="http://schemas.openxmlformats.org/officeDocument/2006/relationships/hyperlink" Target="https://apaapaapaapaapa2006-source.github.io/oto-2/maboroshi/" TargetMode="External" Id="rId83" /><Relationship Type="http://schemas.openxmlformats.org/officeDocument/2006/relationships/hyperlink" Target="https://apaapaapaapaapa2006-source.github.io/oto-2/zukei/" TargetMode="External" Id="rId8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HARUKA</t>
        </is>
      </c>
      <c r="E82" s="5" t="inlineStr">
        <is>
          <t>部屋が消えて映った人だけが映画のポスターのような遠い景色の前に立つ。大きな月と山並み・夕暮れの砂丘・霧の森。頭を動かすと景色が奥行きのとおりにずれて窓の向こうに本当に世界があるように見える。はじめは普通のカメラでボタンを押すと景色が下から順にせり上がる。撮影と録画ができる。</t>
        </is>
      </c>
      <c r="F82" s="6" t="n"/>
      <c r="G82" s="2" t="inlineStr">
        <is>
          <t>エフェクト</t>
        </is>
      </c>
    </row>
    <row r="83" ht="30" customHeight="1">
      <c r="A83" s="2" t="n">
        <v>82</v>
      </c>
      <c r="B83" s="3" t="inlineStr">
        <is>
          <t>〇</t>
        </is>
      </c>
      <c r="C83" s="2" t="inlineStr">
        <is>
          <t>2026-09-30</t>
        </is>
      </c>
      <c r="D83" s="4" t="inlineStr">
        <is>
          <t>KIRIBARI</t>
        </is>
      </c>
      <c r="E83"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3" s="6" t="n"/>
      <c r="G83" s="2" t="inlineStr">
        <is>
          <t>エフェクト</t>
        </is>
      </c>
    </row>
    <row r="84" ht="30" customHeight="1">
      <c r="A84" s="2" t="n">
        <v>83</v>
      </c>
      <c r="B84" s="3" t="inlineStr">
        <is>
          <t>〇</t>
        </is>
      </c>
      <c r="C84" s="2" t="inlineStr">
        <is>
          <t>2026-09-30</t>
        </is>
      </c>
      <c r="D84" s="4" t="inlineStr">
        <is>
          <t>MABOROSHI</t>
        </is>
      </c>
      <c r="E84"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4" s="6" t="n"/>
      <c r="G84" s="2" t="inlineStr">
        <is>
          <t>エフェクト</t>
        </is>
      </c>
    </row>
    <row r="85" ht="30" customHeight="1">
      <c r="A85" s="2" t="n">
        <v>84</v>
      </c>
      <c r="B85" s="3" t="inlineStr">
        <is>
          <t>〇</t>
        </is>
      </c>
      <c r="C85" s="2" t="inlineStr">
        <is>
          <t>2026-09-30</t>
        </is>
      </c>
      <c r="D85" s="4" t="inlineStr">
        <is>
          <t>ZUKEI</t>
        </is>
      </c>
      <c r="E85"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5" s="6" t="n"/>
      <c r="G85" s="2" t="inlineStr">
        <is>
          <t>エフェクト</t>
        </is>
      </c>
    </row>
  </sheetData>
  <autoFilter ref="A1:G85"/>
  <dataValidations count="1">
    <dataValidation sqref="B2:B8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COUNTIF(エフェクト!$B$2:$B$85,"〇")</f>
        <v/>
      </c>
      <c r="E15" s="14">
        <f>SUM(B15:D15)</f>
        <v/>
      </c>
    </row>
    <row r="16">
      <c r="A16" s="11" t="inlineStr">
        <is>
          <t>△</t>
        </is>
      </c>
      <c r="B16" s="13">
        <f>COUNTIF(ゲーム!$B$2:$B$15,"△")</f>
        <v/>
      </c>
      <c r="C16" s="13">
        <f>COUNTIF(楽器!$B$2:$B$24,"△")</f>
        <v/>
      </c>
      <c r="D16" s="13">
        <f>COUNTIF(エフェクト!$B$2:$B$85,"△")</f>
        <v/>
      </c>
      <c r="E16" s="14">
        <f>SUM(B16:D16)</f>
        <v/>
      </c>
    </row>
    <row r="17">
      <c r="A17" s="11" t="inlineStr">
        <is>
          <t>×</t>
        </is>
      </c>
      <c r="B17" s="13">
        <f>COUNTIF(ゲーム!$B$2:$B$15,"×")</f>
        <v/>
      </c>
      <c r="C17" s="13">
        <f>COUNTIF(楽器!$B$2:$B$24,"×")</f>
        <v/>
      </c>
      <c r="D17" s="13">
        <f>COUNTIF(エフェクト!$B$2:$B$85,"×")</f>
        <v/>
      </c>
      <c r="E17" s="14">
        <f>SUM(B17:D17)</f>
        <v/>
      </c>
    </row>
    <row r="18">
      <c r="A18" s="11" t="inlineStr">
        <is>
          <t>作品数</t>
        </is>
      </c>
      <c r="B18" s="15" t="n">
        <v>14</v>
      </c>
      <c r="C18" s="15" t="n">
        <v>23</v>
      </c>
      <c r="D18" s="15" t="n">
        <v>84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2026-09-30T02:50:09Z</dcterms:created>
  <dcterms:modified xsi:type="dcterms:W3CDTF">2026-09-30T02:50:09Z</dcterms:modified>
</cp:coreProperties>
</file>