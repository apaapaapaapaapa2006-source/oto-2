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'エフェクト'!$A$1:$G$55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madokagami/" TargetMode="External" Id="rId52" /><Relationship Type="http://schemas.openxmlformats.org/officeDocument/2006/relationships/hyperlink" Target="https://apaapaapaapaapa2006-source.github.io/oto-2/zanzou/" TargetMode="External" Id="rId53" /><Relationship Type="http://schemas.openxmlformats.org/officeDocument/2006/relationships/hyperlink" Target="https://apaapaapaapaapa2006-source.github.io/oto-2/korin/" TargetMode="External" Id="rId5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5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MADOKAGAMI</t>
        </is>
      </c>
      <c r="E53"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3" s="6" t="n"/>
      <c r="G53" s="2" t="inlineStr">
        <is>
          <t>エフェクト</t>
        </is>
      </c>
    </row>
    <row r="54" ht="30" customHeight="1">
      <c r="A54" s="2" t="n">
        <v>53</v>
      </c>
      <c r="B54" s="3" t="inlineStr">
        <is>
          <t>〇</t>
        </is>
      </c>
      <c r="C54" s="2" t="inlineStr">
        <is>
          <t>2026-09-25</t>
        </is>
      </c>
      <c r="D54" s="4" t="inlineStr">
        <is>
          <t>ZANZOU</t>
        </is>
      </c>
      <c r="E5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54" s="6" t="n"/>
      <c r="G54" s="2" t="inlineStr">
        <is>
          <t>エフェクト</t>
        </is>
      </c>
    </row>
    <row r="55" ht="30" customHeight="1">
      <c r="A55" s="2" t="n">
        <v>54</v>
      </c>
      <c r="B55" s="3" t="inlineStr">
        <is>
          <t>〇</t>
        </is>
      </c>
      <c r="C55" s="2" t="inlineStr">
        <is>
          <t>2026-09-26</t>
        </is>
      </c>
      <c r="D55" s="4" t="inlineStr">
        <is>
          <t>KORIN</t>
        </is>
      </c>
      <c r="E5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55" s="6" t="n"/>
      <c r="G55" s="2" t="inlineStr">
        <is>
          <t>エフェクト</t>
        </is>
      </c>
    </row>
  </sheetData>
  <autoFilter ref="A1:G55"/>
  <dataValidations count="1">
    <dataValidation sqref="B2:B5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COUNTIF(エフェクト!$B$2:$B$55,"〇")</f>
        <v/>
      </c>
      <c r="E15" s="14">
        <f>SUM(B15:D15)</f>
        <v/>
      </c>
    </row>
    <row r="16">
      <c r="A16" s="11" t="inlineStr">
        <is>
          <t>△</t>
        </is>
      </c>
      <c r="B16" s="13">
        <f>COUNTIF(ゲーム!$B$2:$B$15,"△")</f>
        <v/>
      </c>
      <c r="C16" s="13">
        <f>COUNTIF(楽器!$B$2:$B$23,"△")</f>
        <v/>
      </c>
      <c r="D16" s="13">
        <f>COUNTIF(エフェクト!$B$2:$B$55,"△")</f>
        <v/>
      </c>
      <c r="E16" s="14">
        <f>SUM(B16:D16)</f>
        <v/>
      </c>
    </row>
    <row r="17">
      <c r="A17" s="11" t="inlineStr">
        <is>
          <t>×</t>
        </is>
      </c>
      <c r="B17" s="13">
        <f>COUNTIF(ゲーム!$B$2:$B$15,"×")</f>
        <v/>
      </c>
      <c r="C17" s="13">
        <f>COUNTIF(楽器!$B$2:$B$23,"×")</f>
        <v/>
      </c>
      <c r="D17" s="13">
        <f>COUNTIF(エフェクト!$B$2:$B$55,"×")</f>
        <v/>
      </c>
      <c r="E17" s="14">
        <f>SUM(B17:D17)</f>
        <v/>
      </c>
    </row>
    <row r="18">
      <c r="A18" s="11" t="inlineStr">
        <is>
          <t>作品数</t>
        </is>
      </c>
      <c r="B18" s="15" t="n">
        <v>14</v>
      </c>
      <c r="C18" s="15" t="n">
        <v>22</v>
      </c>
      <c r="D18" s="15" t="n">
        <v>54</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2026-09-23T09:50:23Z</dcterms:created>
  <dcterms:modified xsi:type="dcterms:W3CDTF">2026-09-23T09:50:23Z</dcterms:modified>
</cp:coreProperties>
</file>