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madokagami/" TargetMode="External" Id="rId48" /><Relationship Type="http://schemas.openxmlformats.org/officeDocument/2006/relationships/hyperlink" Target="https://apaapaapaapaapa2006-source.github.io/oto-2/zanzou/" TargetMode="External" Id="rId4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2026-09-24</t>
        </is>
      </c>
      <c r="D49" s="4" t="inlineStr">
        <is>
          <t>MADOKAGAMI</t>
        </is>
      </c>
      <c r="E49"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49" s="6" t="n"/>
      <c r="G49" s="2" t="inlineStr">
        <is>
          <t>エフェクト</t>
        </is>
      </c>
    </row>
    <row r="50" ht="30" customHeight="1">
      <c r="A50" s="2" t="n">
        <v>49</v>
      </c>
      <c r="B50" s="3" t="inlineStr">
        <is>
          <t>〇</t>
        </is>
      </c>
      <c r="C50" s="2" t="inlineStr">
        <is>
          <t>2026-09-25</t>
        </is>
      </c>
      <c r="D50" s="4" t="inlineStr">
        <is>
          <t>ZANZOU</t>
        </is>
      </c>
      <c r="E50"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0" s="6" t="n"/>
      <c r="G50" s="2" t="inlineStr">
        <is>
          <t>エフェクト</t>
        </is>
      </c>
    </row>
  </sheetData>
  <autoFilter ref="A1:G50"/>
  <dataValidations count="1">
    <dataValidation sqref="B2:B5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COUNTIF(エフェクト!$B$2:$B$50,"〇")</f>
        <v/>
      </c>
      <c r="E15" s="14">
        <f>SUM(B15:D15)</f>
        <v/>
      </c>
    </row>
    <row r="16">
      <c r="A16" s="11" t="inlineStr">
        <is>
          <t>△</t>
        </is>
      </c>
      <c r="B16" s="13">
        <f>COUNTIF(ゲーム!$B$2:$B$15,"△")</f>
        <v/>
      </c>
      <c r="C16" s="13">
        <f>COUNTIF(楽器!$B$2:$B$23,"△")</f>
        <v/>
      </c>
      <c r="D16" s="13">
        <f>COUNTIF(エフェクト!$B$2:$B$50,"△")</f>
        <v/>
      </c>
      <c r="E16" s="14">
        <f>SUM(B16:D16)</f>
        <v/>
      </c>
    </row>
    <row r="17">
      <c r="A17" s="11" t="inlineStr">
        <is>
          <t>×</t>
        </is>
      </c>
      <c r="B17" s="13">
        <f>COUNTIF(ゲーム!$B$2:$B$15,"×")</f>
        <v/>
      </c>
      <c r="C17" s="13">
        <f>COUNTIF(楽器!$B$2:$B$23,"×")</f>
        <v/>
      </c>
      <c r="D17" s="13">
        <f>COUNTIF(エフェクト!$B$2:$B$50,"×")</f>
        <v/>
      </c>
      <c r="E17" s="14">
        <f>SUM(B17:D17)</f>
        <v/>
      </c>
    </row>
    <row r="18">
      <c r="A18" s="11" t="inlineStr">
        <is>
          <t>作品数</t>
        </is>
      </c>
      <c r="B18" s="15" t="n">
        <v>14</v>
      </c>
      <c r="C18" s="15" t="n">
        <v>22</v>
      </c>
      <c r="D18" s="15" t="n">
        <v>49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2026-09-21T21:19:32Z</dcterms:created>
  <dcterms:modified xsi:type="dcterms:W3CDTF">2026-09-21T21:19:32Z</dcterms:modified>
</cp:coreProperties>
</file>