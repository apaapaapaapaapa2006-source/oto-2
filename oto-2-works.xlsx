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'エフェクト'!$A$1:$G$139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gekiga/" TargetMode="External" Id="rId130" /><Relationship Type="http://schemas.openxmlformats.org/officeDocument/2006/relationships/hyperlink" Target="https://apaapaapaapaapa2006-source.github.io/oto-2/shard/" TargetMode="External" Id="rId131" /><Relationship Type="http://schemas.openxmlformats.org/officeDocument/2006/relationships/hyperlink" Target="https://apaapaapaapaapa2006-source.github.io/oto-2/touei/" TargetMode="External" Id="rId132" /><Relationship Type="http://schemas.openxmlformats.org/officeDocument/2006/relationships/hyperlink" Target="https://apaapaapaapaapa2006-source.github.io/oto-2/tsumamu/" TargetMode="External" Id="rId133" /><Relationship Type="http://schemas.openxmlformats.org/officeDocument/2006/relationships/hyperlink" Target="https://apaapaapaapaapa2006-source.github.io/oto-2/tsumamu-naked/" TargetMode="External" Id="rId134" /><Relationship Type="http://schemas.openxmlformats.org/officeDocument/2006/relationships/hyperlink" Target="https://apaapaapaapaapa2006-source.github.io/oto-2/psyche-mirror-2/" TargetMode="External" Id="rId135" /><Relationship Type="http://schemas.openxmlformats.org/officeDocument/2006/relationships/hyperlink" Target="https://apaapaapaapaapa2006-source.github.io/oto-2/tatamu/" TargetMode="External" Id="rId136" /><Relationship Type="http://schemas.openxmlformats.org/officeDocument/2006/relationships/hyperlink" Target="https://apaapaapaapaapa2006-source.github.io/oto-2/shippan/" TargetMode="External" Id="rId137" /><Relationship Type="http://schemas.openxmlformats.org/officeDocument/2006/relationships/hyperlink" Target="https://apaapaapaapaapa2006-source.github.io/oto-2/tamasudare/" TargetMode="External" Id="rId13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GEKIGA CAM</t>
        </is>
      </c>
      <c r="E131" s="5" t="inlineStr">
        <is>
          <t>オーナーが持ち込んだ作品。カメラの映像がそのまま昔の劇画の一コマになる。平らに塗られた面と墨の輪郭線とべた塗りの影、染みと焼けのある紙、ちぎれた紙のふち。劇画セピア・浮世絵・墨・夕焼け・ポップの五つ。写真と動画で撮れる。</t>
        </is>
      </c>
      <c r="F131" s="6" t="n"/>
      <c r="G131" s="2" t="inlineStr">
        <is>
          <t>エフェクト</t>
        </is>
      </c>
    </row>
    <row r="132" ht="30" customHeight="1">
      <c r="A132" s="2" t="n">
        <v>131</v>
      </c>
      <c r="B132" s="3" t="inlineStr">
        <is>
          <t>〇</t>
        </is>
      </c>
      <c r="C132" s="2" t="inlineStr">
        <is>
          <t>2026-10-17</t>
        </is>
      </c>
      <c r="D132" s="4" t="inlineStr">
        <is>
          <t>SHARD</t>
        </is>
      </c>
      <c r="E132" s="5" t="inlineStr">
        <is>
          <t>オーナーが持ち込んだサンプルエディタ。録音ボタンを長押しして声や物音を録り、波形から好きな所を切り出して、右の線をなぞると音程を変えて弾ける。逆再生・正規化・自動トリム・音程の自動検出・フェード・WAV 保存。これから映像の作品に育てていく。</t>
        </is>
      </c>
      <c r="F132" s="6" t="n"/>
      <c r="G132" s="2" t="inlineStr">
        <is>
          <t>エフェクト</t>
        </is>
      </c>
    </row>
    <row r="133" ht="30" customHeight="1">
      <c r="A133" s="2" t="n">
        <v>132</v>
      </c>
      <c r="B133" s="3" t="inlineStr">
        <is>
          <t>〇</t>
        </is>
      </c>
      <c r="C133" s="2" t="inlineStr">
        <is>
          <t>2026-10-17</t>
        </is>
      </c>
      <c r="D133" s="4" t="inlineStr">
        <is>
          <t>TOUEI</t>
        </is>
      </c>
      <c r="E133"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3" s="6" t="n"/>
      <c r="G133" s="2" t="inlineStr">
        <is>
          <t>エフェクト</t>
        </is>
      </c>
    </row>
    <row r="134" ht="30" customHeight="1">
      <c r="A134" s="2" t="n">
        <v>133</v>
      </c>
      <c r="B134" s="3" t="inlineStr">
        <is>
          <t>〇</t>
        </is>
      </c>
      <c r="C134" s="2" t="inlineStr">
        <is>
          <t>2026-10-17</t>
        </is>
      </c>
      <c r="D134" s="4" t="inlineStr">
        <is>
          <t>TSUMAMU</t>
        </is>
      </c>
      <c r="E134" s="5" t="inlineStr">
        <is>
          <t>カメラの映像を指でつまんで引っぱれる（「手でつまむ」を入にすればカメラに映った親指と人差し指でも）。映像はゼリーのような透明な膜になって伸び、離すとぷるんと揺れて「ぼよん」と鳴りながら戻る。両手でつまめば手のあいだで引き伸ばせ、引っぱりすぎるとちぎれて、切れ端を好きな所にシールのように貼れる（「↺ リセット」でまとめて落とせる）。指ではじくと波紋が走り、声や手拍子でも膜が震える。ゼリー・ゴム・蜜の三つの素材と、素・銀・桃・藍・夜光の五つの色。撮影と録画ができる。</t>
        </is>
      </c>
      <c r="F134" s="6" t="n"/>
      <c r="G134" s="2" t="inlineStr">
        <is>
          <t>エフェクト</t>
        </is>
      </c>
    </row>
    <row r="135" ht="30" customHeight="1">
      <c r="A135" s="2" t="n">
        <v>134</v>
      </c>
      <c r="B135" s="3" t="inlineStr">
        <is>
          <t>〇</t>
        </is>
      </c>
      <c r="C135" s="2" t="inlineStr">
        <is>
          <t>2026-10-17</t>
        </is>
      </c>
      <c r="D135" s="4" t="inlineStr">
        <is>
          <t>TSUMAMU NAKED</t>
        </is>
      </c>
      <c r="E135" s="5" t="inlineStr">
        <is>
          <t>TSUMAMU の最初の版（色の切り替え・ちぎる・貼る・声を足す前）。カメラの映像を親指と人差し指でつまんで引っぱると、ゼリーのような透明な膜になって伸び、離すとぷるんと揺れて「ぼよん」と鳴りながら戻る。両手でつまめば手のあいだで引き伸ばせ、指ではじくと波紋が走る。ゼリー・ゴム・蜜の三つの素材。撮影と録画ができる。</t>
        </is>
      </c>
      <c r="F135" s="6" t="n"/>
      <c r="G135" s="2" t="inlineStr">
        <is>
          <t>エフェクト</t>
        </is>
      </c>
    </row>
    <row r="136" ht="30" customHeight="1">
      <c r="A136" s="2" t="n">
        <v>135</v>
      </c>
      <c r="B136" s="3" t="inlineStr">
        <is>
          <t>〇</t>
        </is>
      </c>
      <c r="C136" s="2" t="inlineStr">
        <is>
          <t>2026-10-18</t>
        </is>
      </c>
      <c r="D136" s="4" t="inlineStr">
        <is>
          <t>PSYCHE MIRROR II</t>
        </is>
      </c>
      <c r="E136" s="5" t="inlineStr">
        <is>
          <t>PSYCHE MIRROR の新しい版。カメラをじっと見つめると髪が液体のマーブル絵の具になって頭からはじけ出す。顔は白い紙のように抜け後ろで色の粉が爆発ししぶきが線を引いて飛ぶ。頭をふるとしぶき・口をあけると爆発・目を長めにとじると配色がかわる。</t>
        </is>
      </c>
      <c r="F136" s="6" t="n"/>
      <c r="G136" s="2" t="inlineStr">
        <is>
          <t>エフェクト</t>
        </is>
      </c>
    </row>
    <row r="137" ht="30" customHeight="1">
      <c r="A137" s="2" t="n">
        <v>136</v>
      </c>
      <c r="B137" s="3" t="inlineStr">
        <is>
          <t>〇</t>
        </is>
      </c>
      <c r="C137" s="2" t="inlineStr">
        <is>
          <t>2026-10-18</t>
        </is>
      </c>
      <c r="D137" s="4" t="inlineStr">
        <is>
          <t>TATAMU</t>
        </is>
      </c>
      <c r="E137" s="5" t="inlineStr">
        <is>
          <t>指を曲げると指の付け根の線で部屋の景色が紙のように折れて起き上がり頭上へ覆いかぶさる。両手なら両側の壁が立ちタップで折り目を残して部屋を箱のように組める。</t>
        </is>
      </c>
      <c r="F137" s="6" t="n"/>
      <c r="G137" s="2" t="inlineStr">
        <is>
          <t>エフェクト</t>
        </is>
      </c>
    </row>
    <row r="138" ht="30" customHeight="1">
      <c r="A138" s="2" t="n">
        <v>137</v>
      </c>
      <c r="B138" s="3" t="inlineStr">
        <is>
          <t>〇</t>
        </is>
      </c>
      <c r="C138" s="2" t="inlineStr">
        <is>
          <t>2026-10-19</t>
        </is>
      </c>
      <c r="D138" s="4" t="inlineStr">
        <is>
          <t>SHIPPAN</t>
        </is>
      </c>
      <c r="E138" s="5" t="inlineStr">
        <is>
          <t>カメラが百五十年前の湿板写真機になる。黒い板に窓の光を受けた銀色の肖像が浮かびまわりは渦を巻いてぼける。三秒じっとするとクリーム色の板に陰画が浮かび定着液が流れて黒地の陽画に変わる。鉄板・硝子板・紅硝子・銀板の四つ。</t>
        </is>
      </c>
      <c r="F138" s="6" t="n"/>
      <c r="G138" s="2" t="inlineStr">
        <is>
          <t>エフェクト</t>
        </is>
      </c>
    </row>
    <row r="139" ht="30" customHeight="1">
      <c r="A139" s="2" t="n">
        <v>138</v>
      </c>
      <c r="B139" s="3" t="inlineStr">
        <is>
          <t>〇</t>
        </is>
      </c>
      <c r="C139" s="2" t="inlineStr">
        <is>
          <t>2026-10-19</t>
        </is>
      </c>
      <c r="D139" s="4" t="inlineStr">
        <is>
          <t>TAMASUDARE</t>
        </is>
      </c>
      <c r="E139" s="5" t="inlineStr">
        <is>
          <t>カメラの前に硝子の玉すだれが下りてくる。手や腕を入れると玉がよけて揺れからからと鳴る。握れば玉の束をつかんで寄せられはなせば揺れもどる。玉はひとつずつ向こうの景色をさかさまに映す。クリスタル・オーロラ・琥珀・黒硝子の四つ。</t>
        </is>
      </c>
      <c r="F139" s="6" t="n"/>
      <c r="G139" s="2" t="inlineStr">
        <is>
          <t>エフェクト</t>
        </is>
      </c>
    </row>
  </sheetData>
  <autoFilter ref="A1:G139"/>
  <dataValidations count="1">
    <dataValidation sqref="B2:B139"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COUNTIF(エフェクト!$B$2:$B$139,"〇")</f>
        <v/>
      </c>
      <c r="E15" s="14">
        <f>SUM(B15:D15)</f>
        <v/>
      </c>
    </row>
    <row r="16">
      <c r="A16" s="11" t="inlineStr">
        <is>
          <t>△</t>
        </is>
      </c>
      <c r="B16" s="13">
        <f>COUNTIF(ゲーム!$B$2:$B$15,"△")</f>
        <v/>
      </c>
      <c r="C16" s="13">
        <f>COUNTIF(楽器!$B$2:$B$25,"△")</f>
        <v/>
      </c>
      <c r="D16" s="13">
        <f>COUNTIF(エフェクト!$B$2:$B$139,"△")</f>
        <v/>
      </c>
      <c r="E16" s="14">
        <f>SUM(B16:D16)</f>
        <v/>
      </c>
    </row>
    <row r="17">
      <c r="A17" s="11" t="inlineStr">
        <is>
          <t>×</t>
        </is>
      </c>
      <c r="B17" s="13">
        <f>COUNTIF(ゲーム!$B$2:$B$15,"×")</f>
        <v/>
      </c>
      <c r="C17" s="13">
        <f>COUNTIF(楽器!$B$2:$B$25,"×")</f>
        <v/>
      </c>
      <c r="D17" s="13">
        <f>COUNTIF(エフェクト!$B$2:$B$139,"×")</f>
        <v/>
      </c>
      <c r="E17" s="14">
        <f>SUM(B17:D17)</f>
        <v/>
      </c>
    </row>
    <row r="18">
      <c r="A18" s="11" t="inlineStr">
        <is>
          <t>作品数</t>
        </is>
      </c>
      <c r="B18" s="15" t="n">
        <v>14</v>
      </c>
      <c r="C18" s="15" t="n">
        <v>24</v>
      </c>
      <c r="D18" s="15" t="n">
        <v>138</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2026-10-19T00:41:54Z</dcterms:created>
  <dcterms:modified xsi:type="dcterms:W3CDTF">2026-10-19T00:41:54Z</dcterms:modified>
</cp:coreProperties>
</file>